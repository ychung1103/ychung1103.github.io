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6"/>
  <workbookPr/>
  <mc:AlternateContent xmlns:mc="http://schemas.openxmlformats.org/markup-compatibility/2006">
    <mc:Choice Requires="x15">
      <x15ac:absPath xmlns:x15ac="http://schemas.microsoft.com/office/spreadsheetml/2010/11/ac" url="D:\HTML\Grade\CSC3150\"/>
    </mc:Choice>
  </mc:AlternateContent>
  <xr:revisionPtr revIDLastSave="0" documentId="8_{06E03C79-F49D-4935-A2F8-B6B6402A7E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4" i="1" l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<sst xmlns="http://schemas.openxmlformats.org/spreadsheetml/2006/main" count="838" uniqueCount="398">
  <si>
    <t>Last Name</t>
  </si>
  <si>
    <t>First Name</t>
  </si>
  <si>
    <t>Username</t>
  </si>
  <si>
    <t>Student ID</t>
  </si>
  <si>
    <t>Last Access</t>
  </si>
  <si>
    <t>Availability</t>
  </si>
  <si>
    <t>Weighted Total [Total Pts: up to 0 Percentage] |90255</t>
  </si>
  <si>
    <t>Total [Total Pts: up to 500.5 Score] |90254</t>
  </si>
  <si>
    <t>Bonus points(awk) [Total Pts: 0.5 Score] |92545</t>
  </si>
  <si>
    <t>Assignment 1 [Total Pts: 100 Score] |92975</t>
  </si>
  <si>
    <t>Assignment 2 [Total Pts: 100 Score] |93181</t>
  </si>
  <si>
    <t>Assignment 3 [Total Pts: 100 Score] |94392</t>
  </si>
  <si>
    <t>Assignment 4 [Total Pts: 100 Score] |95441</t>
  </si>
  <si>
    <t>Final Exam [Total Pts: 100 Score] |97509</t>
  </si>
  <si>
    <t>Roll Call</t>
  </si>
  <si>
    <t>Score</t>
  </si>
  <si>
    <t>LIN, Yufeng</t>
  </si>
  <si>
    <t>林御峰</t>
  </si>
  <si>
    <t>Yes</t>
  </si>
  <si>
    <t>A</t>
  </si>
  <si>
    <t>SHOU, Haoran</t>
  </si>
  <si>
    <t>寿浩然</t>
  </si>
  <si>
    <t>TU, Yicheng</t>
  </si>
  <si>
    <t>涂益诚</t>
  </si>
  <si>
    <t>student_id</t>
  </si>
  <si>
    <t>XU, Feiyang</t>
  </si>
  <si>
    <t>徐飞扬</t>
  </si>
  <si>
    <t>WEN, Ming</t>
  </si>
  <si>
    <t>闻鸣</t>
  </si>
  <si>
    <t>ZHANG, Ruiqi</t>
  </si>
  <si>
    <t>张芮淇</t>
  </si>
  <si>
    <t>CHEN, Muyang</t>
  </si>
  <si>
    <t>陈沐阳</t>
  </si>
  <si>
    <t>YIN, Zhaorui</t>
  </si>
  <si>
    <t>尹兆瑞</t>
  </si>
  <si>
    <t>TENG, Yimeng</t>
  </si>
  <si>
    <t>滕艺萌</t>
  </si>
  <si>
    <t>LIN, Shan</t>
  </si>
  <si>
    <t>林山</t>
  </si>
  <si>
    <t>DING, Luojia</t>
  </si>
  <si>
    <t>丁珞珈</t>
  </si>
  <si>
    <t>ZHU, Yi</t>
  </si>
  <si>
    <t>朱弈</t>
  </si>
  <si>
    <t>XING, Qiliang</t>
  </si>
  <si>
    <t>邢其亮</t>
  </si>
  <si>
    <t>JIANG, Hanyun</t>
  </si>
  <si>
    <t>蒋涵韵</t>
  </si>
  <si>
    <t>CHEN, Yuetong</t>
  </si>
  <si>
    <t>陈玥彤</t>
  </si>
  <si>
    <t>XU, Luhang</t>
  </si>
  <si>
    <t>徐陆杭</t>
  </si>
  <si>
    <t>QIN, Weiya</t>
  </si>
  <si>
    <t>秦薇雅</t>
  </si>
  <si>
    <t>DENG, Mingshi</t>
  </si>
  <si>
    <t>邓铭时</t>
  </si>
  <si>
    <t>YIN, Shi</t>
  </si>
  <si>
    <t>殷实</t>
  </si>
  <si>
    <t>ZHANG, Danyang</t>
  </si>
  <si>
    <t>张旦阳</t>
  </si>
  <si>
    <t>LIN, Shufang</t>
  </si>
  <si>
    <t>林疏放</t>
  </si>
  <si>
    <t>KONG, Weiwen</t>
  </si>
  <si>
    <t>孔维文</t>
  </si>
  <si>
    <t>LI, Yingyue</t>
  </si>
  <si>
    <t>李颖玥</t>
  </si>
  <si>
    <t>CHEN, Baicheng</t>
  </si>
  <si>
    <t>陈柏成</t>
  </si>
  <si>
    <t>ZHANG, Yang</t>
  </si>
  <si>
    <t>章扬</t>
  </si>
  <si>
    <t>CAI, Rui</t>
  </si>
  <si>
    <t>蔡瑞</t>
  </si>
  <si>
    <t>MA, Chenze</t>
  </si>
  <si>
    <t>马宸泽</t>
  </si>
  <si>
    <t>MENG, Wuyue</t>
  </si>
  <si>
    <t>孟吴越</t>
  </si>
  <si>
    <t>ZHANG, Shuhan</t>
  </si>
  <si>
    <t>张树涵</t>
  </si>
  <si>
    <t>YE, Jiahong</t>
  </si>
  <si>
    <t>叶嘉泓</t>
  </si>
  <si>
    <t>MAO, Yiteng</t>
  </si>
  <si>
    <t>毛弋滕</t>
  </si>
  <si>
    <t>YANG, Yechi</t>
  </si>
  <si>
    <t>杨晔池</t>
  </si>
  <si>
    <t>WANG, Yicheng</t>
  </si>
  <si>
    <t>王翼诚</t>
  </si>
  <si>
    <t>YAO, Kaiwen</t>
  </si>
  <si>
    <t>姚恺文</t>
  </si>
  <si>
    <t>YOU, Shuya</t>
  </si>
  <si>
    <t>游舒雅</t>
  </si>
  <si>
    <t>LIU, Yuxuan</t>
  </si>
  <si>
    <t>刘宇轩</t>
  </si>
  <si>
    <t>LI, Yiwei</t>
  </si>
  <si>
    <t>李奕玮</t>
  </si>
  <si>
    <t>A-</t>
  </si>
  <si>
    <t>YANG, Chen</t>
  </si>
  <si>
    <t>杨宸</t>
  </si>
  <si>
    <t>LYU, Yiyang</t>
  </si>
  <si>
    <t>吕艺炀</t>
  </si>
  <si>
    <t>ZHENG, Jinghao</t>
  </si>
  <si>
    <t>郑景豪</t>
  </si>
  <si>
    <t>QIAN, Yizhou</t>
  </si>
  <si>
    <t>钱逸洲</t>
  </si>
  <si>
    <t>WANG, Zihan</t>
  </si>
  <si>
    <t>王子涵</t>
  </si>
  <si>
    <t>ZHOU, Xinyan</t>
  </si>
  <si>
    <t>周信言</t>
  </si>
  <si>
    <t>DAI, Jiayue</t>
  </si>
  <si>
    <t>戴嘉悦</t>
  </si>
  <si>
    <t>LUO, Xianglin</t>
  </si>
  <si>
    <t>罗翔麟</t>
  </si>
  <si>
    <t>DAI, Zhanchen</t>
  </si>
  <si>
    <t>戴湛宸</t>
  </si>
  <si>
    <t>SHEN, Xiaodan</t>
  </si>
  <si>
    <t>沈小丹</t>
  </si>
  <si>
    <t>YANG, Geyi</t>
  </si>
  <si>
    <t>杨戈易</t>
  </si>
  <si>
    <t>ZHENG, Qixuan</t>
  </si>
  <si>
    <t>郑启玄</t>
  </si>
  <si>
    <t>JANICE FLORENCIA SETIAWAN</t>
  </si>
  <si>
    <t>Null</t>
  </si>
  <si>
    <t>HAN, Yuzhe</t>
  </si>
  <si>
    <t>韩宇哲</t>
  </si>
  <si>
    <t>FANG, Baohua</t>
  </si>
  <si>
    <t>方保骅</t>
  </si>
  <si>
    <t>LI, Zhiheng</t>
  </si>
  <si>
    <t>李志恒</t>
  </si>
  <si>
    <t>YU, Xuheng</t>
  </si>
  <si>
    <t>余旭珩</t>
  </si>
  <si>
    <t>XIE, Bingsong</t>
  </si>
  <si>
    <t>谢秉松</t>
  </si>
  <si>
    <t>XIANG, Siheng</t>
  </si>
  <si>
    <t>向思衡</t>
  </si>
  <si>
    <t>XIE, Zihang</t>
  </si>
  <si>
    <t>解子航</t>
  </si>
  <si>
    <t>ZHANG, Xiaochuan</t>
  </si>
  <si>
    <t>张小川</t>
  </si>
  <si>
    <t>CHEN, Qingyang</t>
  </si>
  <si>
    <t>陈庆洋</t>
  </si>
  <si>
    <t>SUN, Yihan</t>
  </si>
  <si>
    <t>孙逸涵</t>
  </si>
  <si>
    <t>WEI, Zixin</t>
  </si>
  <si>
    <t>魏子歆</t>
  </si>
  <si>
    <t>JONATHAN ANDREW ALLISON</t>
  </si>
  <si>
    <t>LIN, Yuzhou</t>
  </si>
  <si>
    <t>林钰周</t>
  </si>
  <si>
    <t>FU, Yile</t>
  </si>
  <si>
    <t>傅亦乐</t>
  </si>
  <si>
    <t>GUO, Yingying</t>
  </si>
  <si>
    <t>过盈莹</t>
  </si>
  <si>
    <t>JIN, Yiyao</t>
  </si>
  <si>
    <t>金逸瑶</t>
  </si>
  <si>
    <t>LI, Mingze</t>
  </si>
  <si>
    <t>李明泽</t>
  </si>
  <si>
    <t>QIN, Yuyang</t>
  </si>
  <si>
    <t>秦宇阳</t>
  </si>
  <si>
    <t>ZHANG, Wangmeiyu</t>
  </si>
  <si>
    <t>张王美誉</t>
  </si>
  <si>
    <t>YAO, Yilin</t>
  </si>
  <si>
    <t>姚奕临</t>
  </si>
  <si>
    <t>DUAN, Zuxun</t>
  </si>
  <si>
    <t>段祖训</t>
  </si>
  <si>
    <t>WU, Lefei</t>
  </si>
  <si>
    <t>邬乐飞</t>
  </si>
  <si>
    <t>HU, Zeyun</t>
  </si>
  <si>
    <t>胡泽云</t>
  </si>
  <si>
    <t>B+</t>
  </si>
  <si>
    <t>CAO, Lerong</t>
  </si>
  <si>
    <t>曹乐融</t>
  </si>
  <si>
    <t>WANG, Linjun</t>
  </si>
  <si>
    <t>汪邻筠</t>
  </si>
  <si>
    <t>XU, Zigeng</t>
  </si>
  <si>
    <t>徐梓耕</t>
  </si>
  <si>
    <t>JIANG, Linjun</t>
  </si>
  <si>
    <t>江璘鋆</t>
  </si>
  <si>
    <t>CHEN, Zeyuan</t>
  </si>
  <si>
    <t>陈泽元</t>
  </si>
  <si>
    <t>WU, Xianzhi</t>
  </si>
  <si>
    <t>伍贤致</t>
  </si>
  <si>
    <t>GAN, Linyong</t>
  </si>
  <si>
    <t>甘霖涌</t>
  </si>
  <si>
    <t>LUO, Yin</t>
  </si>
  <si>
    <t>罗尹</t>
  </si>
  <si>
    <t>KUANG, Wenqing</t>
  </si>
  <si>
    <t>匡文清</t>
  </si>
  <si>
    <t>ZHU, Maxiao</t>
  </si>
  <si>
    <t>朱马霄</t>
  </si>
  <si>
    <t>MO, Jiaoyang</t>
  </si>
  <si>
    <t>莫骄阳</t>
  </si>
  <si>
    <t>HU, Hanpei</t>
  </si>
  <si>
    <t>胡瀚培</t>
  </si>
  <si>
    <t>KAN, Boyi</t>
  </si>
  <si>
    <t>阚博翼</t>
  </si>
  <si>
    <t>PENG, Zhe</t>
  </si>
  <si>
    <t>彭喆</t>
  </si>
  <si>
    <t>HE, Siye</t>
  </si>
  <si>
    <t>贺思烨</t>
  </si>
  <si>
    <t>JESSLYN NATHANIA SETIAWAN</t>
  </si>
  <si>
    <t>SUN, Jiayi</t>
  </si>
  <si>
    <t>孙佳怡</t>
  </si>
  <si>
    <t>OWEN LEE</t>
  </si>
  <si>
    <t>WILLIAM JONATHAN KUSNOMO</t>
  </si>
  <si>
    <t>YE, Diwei</t>
  </si>
  <si>
    <t>叶帝玮</t>
  </si>
  <si>
    <t>CHEN, Yue</t>
  </si>
  <si>
    <t>陈越</t>
  </si>
  <si>
    <t>CHRISTOPHER WENDY HARTANTO</t>
  </si>
  <si>
    <t>GOH EAN JIE</t>
  </si>
  <si>
    <t>TAO, Jingren</t>
  </si>
  <si>
    <t>陶景仁</t>
  </si>
  <si>
    <t>YANG, Yiyao</t>
  </si>
  <si>
    <t>杨亦尧</t>
  </si>
  <si>
    <t>CHEN, Fu</t>
  </si>
  <si>
    <t>陈孚</t>
  </si>
  <si>
    <t>HUANG, Wenhao</t>
  </si>
  <si>
    <t>黄文昊</t>
  </si>
  <si>
    <t>DARREN CLAY LIEM</t>
  </si>
  <si>
    <t>SONG, Xinyan</t>
  </si>
  <si>
    <t>宋欣妍</t>
  </si>
  <si>
    <t>ZHAO, Kunqi</t>
  </si>
  <si>
    <t>赵坤琦</t>
  </si>
  <si>
    <t>CLEON AURELLIO SOEHARSA</t>
  </si>
  <si>
    <t>NICHOLAI DOMINIC EUGENIUS</t>
  </si>
  <si>
    <t>LIU, Yannan</t>
  </si>
  <si>
    <t>刘雁南</t>
  </si>
  <si>
    <t>CAO, Kaiwei</t>
  </si>
  <si>
    <t>曹凯伟</t>
  </si>
  <si>
    <t>WARDHOJO</t>
  </si>
  <si>
    <t>MICHELLE</t>
  </si>
  <si>
    <t>LUO, Tiancheng</t>
  </si>
  <si>
    <t>罗天成</t>
  </si>
  <si>
    <t>QI, Zhenglong</t>
  </si>
  <si>
    <t>戚正龙</t>
  </si>
  <si>
    <t>NICHOLAS TANDI</t>
  </si>
  <si>
    <t>ZHAO, Xintong</t>
  </si>
  <si>
    <t>赵新桐</t>
  </si>
  <si>
    <t>ZHUANG, Ruicen</t>
  </si>
  <si>
    <t>庄睿岑</t>
  </si>
  <si>
    <t>SHI, Shuhao</t>
  </si>
  <si>
    <t>史书浩</t>
  </si>
  <si>
    <t>HOU, Yuxiang</t>
  </si>
  <si>
    <t>侯宇翔</t>
  </si>
  <si>
    <t>B</t>
  </si>
  <si>
    <t>YANG, Shenghao</t>
  </si>
  <si>
    <t>杨晟颢</t>
  </si>
  <si>
    <t>QIN, Nanli</t>
  </si>
  <si>
    <t>覃南郦</t>
  </si>
  <si>
    <t>YANG, Jiuzhi</t>
  </si>
  <si>
    <t>杨久知</t>
  </si>
  <si>
    <t>ZHONG, Peirong</t>
  </si>
  <si>
    <t>钟佩容</t>
  </si>
  <si>
    <t>WANG, Tianqing</t>
  </si>
  <si>
    <t>王天晴</t>
  </si>
  <si>
    <t>GAO, Jiabao</t>
  </si>
  <si>
    <t>高家宝</t>
  </si>
  <si>
    <t>YAN, Xiangyu</t>
  </si>
  <si>
    <t>严翔宇</t>
  </si>
  <si>
    <t>HUANG, Ruochen</t>
  </si>
  <si>
    <t>黄若尘</t>
  </si>
  <si>
    <t>ZHU, Rui</t>
  </si>
  <si>
    <t>朱睿</t>
  </si>
  <si>
    <t>MAXWELL HENDRIKS</t>
  </si>
  <si>
    <t>LIU, Liwei</t>
  </si>
  <si>
    <t>刘力玮</t>
  </si>
  <si>
    <t>MATTHEW IRVING SOENARJO</t>
  </si>
  <si>
    <t>SONG, Ci</t>
  </si>
  <si>
    <t>宋词</t>
  </si>
  <si>
    <t>ZHU, Hao</t>
  </si>
  <si>
    <t>朱皓</t>
  </si>
  <si>
    <t>B-</t>
  </si>
  <si>
    <t>DENG, Chenxi</t>
  </si>
  <si>
    <t>邓晨曦</t>
  </si>
  <si>
    <t>MENG, Shuhan</t>
  </si>
  <si>
    <t>孟姝涵</t>
  </si>
  <si>
    <t>CHEN, Mohan</t>
  </si>
  <si>
    <t>陈墨涵</t>
  </si>
  <si>
    <t>LIN, Wentao</t>
  </si>
  <si>
    <t>林文涛</t>
  </si>
  <si>
    <t>YE, Haoting</t>
  </si>
  <si>
    <t>叶昊庭</t>
  </si>
  <si>
    <t>FERRAR YUNANTO</t>
  </si>
  <si>
    <t>AUDREY CLARISSA</t>
  </si>
  <si>
    <t>GAO, Ziqin</t>
  </si>
  <si>
    <t>高子钦</t>
  </si>
  <si>
    <t>LIU, Yuyue</t>
  </si>
  <si>
    <t>柳雨悦</t>
  </si>
  <si>
    <t>WU, Xiaoxuan</t>
  </si>
  <si>
    <t>武小煊</t>
  </si>
  <si>
    <t>CHENG, Tian</t>
  </si>
  <si>
    <t>程添</t>
  </si>
  <si>
    <t>PENG, Dikai</t>
  </si>
  <si>
    <t>彭帝恺</t>
  </si>
  <si>
    <t>ZHENG, Bowen</t>
  </si>
  <si>
    <t>郑博文</t>
  </si>
  <si>
    <t>C+</t>
  </si>
  <si>
    <t>LI, Yuanshuai</t>
  </si>
  <si>
    <t>李元帅</t>
  </si>
  <si>
    <t>ZHANG, Jiarui</t>
  </si>
  <si>
    <t>张珈瑞</t>
  </si>
  <si>
    <t>TENG, Yuxuan</t>
  </si>
  <si>
    <t>滕宇轩</t>
  </si>
  <si>
    <t>XU, Lingfeng</t>
  </si>
  <si>
    <t>徐翎峰</t>
  </si>
  <si>
    <t>HAN, Songlyu</t>
  </si>
  <si>
    <t>韩松吕</t>
  </si>
  <si>
    <t>QING, Zhouxiao</t>
  </si>
  <si>
    <t>卿洲啸</t>
  </si>
  <si>
    <t>WANG, Boqi</t>
  </si>
  <si>
    <t>王薄淇</t>
  </si>
  <si>
    <t>RAMSES PIRAMUS</t>
  </si>
  <si>
    <t>HAN, Piaoyi</t>
  </si>
  <si>
    <t>韩飘逸</t>
  </si>
  <si>
    <t>YUAN, Weiqi</t>
  </si>
  <si>
    <t>袁伟琦</t>
  </si>
  <si>
    <t>LI, Yanyi</t>
  </si>
  <si>
    <t>李彦仪</t>
  </si>
  <si>
    <t>Yan, Ziheng</t>
  </si>
  <si>
    <t>严子蘅</t>
  </si>
  <si>
    <t>LI, Muran</t>
  </si>
  <si>
    <t>李慕然</t>
  </si>
  <si>
    <t>C</t>
  </si>
  <si>
    <t>LI, Xingjian</t>
  </si>
  <si>
    <t>李行健</t>
  </si>
  <si>
    <t>ZHANG, Lei</t>
  </si>
  <si>
    <t>张磊</t>
  </si>
  <si>
    <t>CHEN, Minghao</t>
  </si>
  <si>
    <t>陈明浩</t>
  </si>
  <si>
    <t>WANG, Siyuan</t>
  </si>
  <si>
    <t>王思远</t>
  </si>
  <si>
    <t>ZHONG, Zewei</t>
  </si>
  <si>
    <t>仲泽为</t>
  </si>
  <si>
    <t>ZHU, Yunfei</t>
  </si>
  <si>
    <t>朱云飞</t>
  </si>
  <si>
    <t>HUANG, HAOFENG</t>
  </si>
  <si>
    <t>黄浩峰</t>
  </si>
  <si>
    <t>C-</t>
  </si>
  <si>
    <t>SHEN, Zhengyi</t>
  </si>
  <si>
    <t>沈正一</t>
  </si>
  <si>
    <t>TANG, Zhining</t>
  </si>
  <si>
    <t>唐致宁</t>
  </si>
  <si>
    <t>ZHONG, Xinchan</t>
  </si>
  <si>
    <t>钟心禅</t>
  </si>
  <si>
    <t>TAN, Junfeng</t>
  </si>
  <si>
    <t>谭俊锋</t>
  </si>
  <si>
    <t>JIANG, Hongkai</t>
  </si>
  <si>
    <t>蒋鸿铠</t>
  </si>
  <si>
    <t>LIN, Zhiyuan</t>
  </si>
  <si>
    <t>林之源</t>
  </si>
  <si>
    <t>LIU, Daile</t>
  </si>
  <si>
    <t>刘戴乐</t>
  </si>
  <si>
    <t>XIA, Xin</t>
  </si>
  <si>
    <t>夏鑫</t>
  </si>
  <si>
    <t>LI, Yuyang</t>
  </si>
  <si>
    <t>李语飏</t>
  </si>
  <si>
    <t>CHEN, Zhuokai</t>
  </si>
  <si>
    <t>陈卓凯</t>
  </si>
  <si>
    <t>XUE, Wenyan</t>
  </si>
  <si>
    <t>薛雯岩</t>
  </si>
  <si>
    <t>D+</t>
  </si>
  <si>
    <t>Zhou, Xinrui</t>
  </si>
  <si>
    <t>周新锐</t>
  </si>
  <si>
    <t>ZENG, Yongkang</t>
  </si>
  <si>
    <t>曾永康</t>
  </si>
  <si>
    <t>ZHANG, Yuntian</t>
  </si>
  <si>
    <t>张云天</t>
  </si>
  <si>
    <t>LIU, Shiyuan</t>
  </si>
  <si>
    <t>刘诗远</t>
  </si>
  <si>
    <t>XU, Zongzhi</t>
  </si>
  <si>
    <t>徐宗智</t>
  </si>
  <si>
    <t>WANG, Xixiang</t>
  </si>
  <si>
    <t>汪希翔</t>
  </si>
  <si>
    <t>HAO, Zongxiao</t>
  </si>
  <si>
    <t>郝宗晓</t>
  </si>
  <si>
    <t>CLARENCEN WILLIAM</t>
  </si>
  <si>
    <t>ZHU, Zhiping</t>
  </si>
  <si>
    <t>朱治平</t>
  </si>
  <si>
    <t>F</t>
  </si>
  <si>
    <t>ZHENG, Kaiyan</t>
  </si>
  <si>
    <t>郑开言</t>
  </si>
  <si>
    <t>GONG, Zirui</t>
  </si>
  <si>
    <t>龚子睿</t>
  </si>
  <si>
    <t>LIU, Maoyusi</t>
  </si>
  <si>
    <t>刘茆于思</t>
  </si>
  <si>
    <t>GAO, Yuezhaowen</t>
  </si>
  <si>
    <t>高岳昭文</t>
  </si>
  <si>
    <t>XU, Hanxiang</t>
  </si>
  <si>
    <t>徐瀚翔</t>
  </si>
  <si>
    <t>MIAO, Hao</t>
  </si>
  <si>
    <t>苗灏</t>
  </si>
  <si>
    <t>CHEN, Baopu</t>
  </si>
  <si>
    <t>陈抱朴</t>
  </si>
  <si>
    <t>LI, Xiang</t>
  </si>
  <si>
    <t>李想</t>
  </si>
  <si>
    <t>HUANG, Ruiyan</t>
  </si>
  <si>
    <t>黄睿言</t>
  </si>
  <si>
    <t>LI, Weiyi</t>
  </si>
  <si>
    <t>李唯祎</t>
  </si>
  <si>
    <t>CHEN, JIAN</t>
  </si>
  <si>
    <t>陈健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</si>
</sst>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22" fontId="1" fillId="2" borderId="0" xfId="0" applyNumberFormat="1" applyFont="1" applyFill="1">
      <alignment vertical="center"/>
    </xf>
    <xf numFmtId="22" fontId="0" fillId="2" borderId="0" xfId="0" applyNumberFormat="1" applyFill="1">
      <alignment vertical="center"/>
    </xf>
    <xf numFmtId="22" fontId="0" fillId="3" borderId="0" xfId="0" applyNumberFormat="1" applyFill="1">
      <alignment vertical="center"/>
    </xf>
    <xf numFmtId="22" fontId="0" fillId="4" borderId="0" xfId="0" applyNumberFormat="1" applyFill="1">
      <alignment vertical="center"/>
    </xf>
    <xf numFmtId="22" fontId="0" fillId="5" borderId="0" xfId="0" applyNumberFormat="1" applyFill="1">
      <alignment vertical="center"/>
    </xf>
    <xf numFmtId="22" fontId="0" fillId="6" borderId="0" xfId="0" applyNumberFormat="1" applyFill="1">
      <alignment vertical="center"/>
    </xf>
    <xf numFmtId="22" fontId="0" fillId="7" borderId="0" xfId="0" applyNumberFormat="1" applyFill="1">
      <alignment vertical="center"/>
    </xf>
    <xf numFmtId="22" fontId="0" fillId="8" borderId="0" xfId="0" applyNumberFormat="1" applyFill="1">
      <alignment vertical="center"/>
    </xf>
    <xf numFmtId="22" fontId="0" fillId="9" borderId="0" xfId="0" applyNumberFormat="1" applyFill="1">
      <alignment vertical="center"/>
    </xf>
    <xf numFmtId="22" fontId="0" fillId="10" borderId="0" xfId="0" applyNumberFormat="1" applyFill="1">
      <alignment vertical="center"/>
    </xf>
    <xf numFmtId="22" fontId="0" fillId="11" borderId="0" xfId="0" applyNumberFormat="1" applyFill="1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tabSelected="1" topLeftCell="H25" workbookViewId="0">
      <selection activeCell="Q68" sqref="Q68:Q73"/>
    </sheetView>
  </sheetViews>
  <sheetFormatPr defaultColWidth="9.54296875" defaultRowHeight="14" x14ac:dyDescent="0.25"/>
  <cols>
    <col min="3" max="4" width="10.54296875"/>
    <col min="5" max="5" width="18.36328125"/>
    <col min="14" max="14" width="48.81640625" customWidth="1"/>
    <col min="15" max="15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s="1" customFormat="1" ht="11" customHeight="1" x14ac:dyDescent="0.25">
      <c r="A2" s="1" t="s">
        <v>16</v>
      </c>
      <c r="B2" s="1" t="s">
        <v>17</v>
      </c>
      <c r="C2" s="1">
        <v>123090342</v>
      </c>
      <c r="E2" s="12">
        <v>46012.852500000001</v>
      </c>
      <c r="F2" s="1" t="s">
        <v>18</v>
      </c>
      <c r="H2" s="1">
        <v>528</v>
      </c>
      <c r="J2" s="1">
        <v>110</v>
      </c>
      <c r="K2" s="1">
        <v>100</v>
      </c>
      <c r="L2" s="1">
        <v>111</v>
      </c>
      <c r="M2" s="1">
        <v>110</v>
      </c>
      <c r="N2" s="1">
        <v>97</v>
      </c>
      <c r="O2" s="1">
        <v>0</v>
      </c>
      <c r="P2" s="1">
        <f t="shared" ref="P2:P33" si="0">MIN(SUM(J2:M2),400)/4*0.7+I2+N2*0.25+5+O2</f>
        <v>99.25</v>
      </c>
      <c r="Q2" s="1" t="s">
        <v>19</v>
      </c>
    </row>
    <row r="3" spans="1:17" s="1" customFormat="1" x14ac:dyDescent="0.25">
      <c r="A3" s="1" t="s">
        <v>20</v>
      </c>
      <c r="B3" s="1" t="s">
        <v>21</v>
      </c>
      <c r="C3" s="1">
        <v>123090506</v>
      </c>
      <c r="E3" s="12">
        <v>46014.678414351903</v>
      </c>
      <c r="F3" s="1" t="s">
        <v>18</v>
      </c>
      <c r="H3" s="1">
        <v>523.5</v>
      </c>
      <c r="I3" s="1">
        <v>0.5</v>
      </c>
      <c r="J3" s="1">
        <v>110</v>
      </c>
      <c r="K3" s="1">
        <v>100</v>
      </c>
      <c r="L3" s="1">
        <v>110</v>
      </c>
      <c r="M3" s="1">
        <v>110</v>
      </c>
      <c r="N3" s="1">
        <v>93</v>
      </c>
      <c r="O3" s="1">
        <v>0</v>
      </c>
      <c r="P3" s="1">
        <f t="shared" si="0"/>
        <v>98.75</v>
      </c>
      <c r="Q3" s="1" t="s">
        <v>19</v>
      </c>
    </row>
    <row r="4" spans="1:17" s="1" customFormat="1" x14ac:dyDescent="0.25">
      <c r="A4" s="1" t="s">
        <v>22</v>
      </c>
      <c r="B4" s="1" t="s">
        <v>23</v>
      </c>
      <c r="C4" s="1">
        <v>122010015</v>
      </c>
      <c r="D4" s="1" t="s">
        <v>24</v>
      </c>
      <c r="E4" s="12">
        <v>46004.831331018497</v>
      </c>
      <c r="F4" s="1" t="s">
        <v>18</v>
      </c>
      <c r="H4" s="1">
        <v>499</v>
      </c>
      <c r="J4" s="1">
        <v>100</v>
      </c>
      <c r="K4" s="1">
        <v>100</v>
      </c>
      <c r="L4" s="1">
        <v>95</v>
      </c>
      <c r="M4" s="1">
        <v>110</v>
      </c>
      <c r="N4" s="1">
        <v>94</v>
      </c>
      <c r="O4" s="1">
        <v>0</v>
      </c>
      <c r="P4" s="1">
        <f t="shared" si="0"/>
        <v>98.5</v>
      </c>
      <c r="Q4" s="1" t="s">
        <v>19</v>
      </c>
    </row>
    <row r="5" spans="1:17" s="1" customFormat="1" x14ac:dyDescent="0.25">
      <c r="A5" s="1" t="s">
        <v>25</v>
      </c>
      <c r="B5" s="1" t="s">
        <v>26</v>
      </c>
      <c r="C5" s="1">
        <v>123090678</v>
      </c>
      <c r="E5" s="12">
        <v>46014.6311921296</v>
      </c>
      <c r="F5" s="1" t="s">
        <v>18</v>
      </c>
      <c r="H5" s="1">
        <v>508</v>
      </c>
      <c r="J5" s="1">
        <v>110</v>
      </c>
      <c r="K5" s="1">
        <v>95</v>
      </c>
      <c r="L5" s="1">
        <v>100</v>
      </c>
      <c r="M5" s="1">
        <v>110</v>
      </c>
      <c r="N5" s="1">
        <v>93</v>
      </c>
      <c r="O5" s="1">
        <v>0</v>
      </c>
      <c r="P5" s="1">
        <f t="shared" si="0"/>
        <v>98.25</v>
      </c>
      <c r="Q5" s="1" t="s">
        <v>19</v>
      </c>
    </row>
    <row r="6" spans="1:17" s="1" customFormat="1" x14ac:dyDescent="0.25">
      <c r="A6" s="1" t="s">
        <v>27</v>
      </c>
      <c r="B6" s="1" t="s">
        <v>28</v>
      </c>
      <c r="C6" s="1">
        <v>123090613</v>
      </c>
      <c r="E6" s="12">
        <v>45998.397962962998</v>
      </c>
      <c r="F6" s="1" t="s">
        <v>18</v>
      </c>
      <c r="H6" s="1">
        <v>532</v>
      </c>
      <c r="J6" s="1">
        <v>110</v>
      </c>
      <c r="K6" s="1">
        <v>100</v>
      </c>
      <c r="L6" s="1">
        <v>120</v>
      </c>
      <c r="M6" s="1">
        <v>110</v>
      </c>
      <c r="N6" s="1">
        <v>92</v>
      </c>
      <c r="O6" s="1">
        <v>0</v>
      </c>
      <c r="P6" s="1">
        <f t="shared" si="0"/>
        <v>98</v>
      </c>
      <c r="Q6" s="1" t="s">
        <v>19</v>
      </c>
    </row>
    <row r="7" spans="1:17" s="1" customFormat="1" x14ac:dyDescent="0.25">
      <c r="A7" s="1" t="s">
        <v>29</v>
      </c>
      <c r="B7" s="1" t="s">
        <v>30</v>
      </c>
      <c r="C7" s="1">
        <v>123090821</v>
      </c>
      <c r="E7" s="12">
        <v>46014.620081018496</v>
      </c>
      <c r="F7" s="1" t="s">
        <v>18</v>
      </c>
      <c r="H7" s="1">
        <v>503</v>
      </c>
      <c r="J7" s="1">
        <v>100</v>
      </c>
      <c r="K7" s="1">
        <v>100</v>
      </c>
      <c r="L7" s="1">
        <v>101</v>
      </c>
      <c r="M7" s="1">
        <v>110</v>
      </c>
      <c r="N7" s="1">
        <v>92</v>
      </c>
      <c r="O7" s="1">
        <v>0</v>
      </c>
      <c r="P7" s="1">
        <f t="shared" si="0"/>
        <v>98</v>
      </c>
      <c r="Q7" s="1" t="s">
        <v>19</v>
      </c>
    </row>
    <row r="8" spans="1:17" s="1" customFormat="1" x14ac:dyDescent="0.25">
      <c r="A8" s="1" t="s">
        <v>31</v>
      </c>
      <c r="B8" s="1" t="s">
        <v>32</v>
      </c>
      <c r="C8" s="1">
        <v>123090028</v>
      </c>
      <c r="E8" s="12">
        <v>46001.457395833299</v>
      </c>
      <c r="F8" s="1" t="s">
        <v>18</v>
      </c>
      <c r="H8" s="1">
        <v>498</v>
      </c>
      <c r="J8" s="1">
        <v>100</v>
      </c>
      <c r="K8" s="1">
        <v>100</v>
      </c>
      <c r="L8" s="1">
        <v>96</v>
      </c>
      <c r="M8" s="1">
        <v>110</v>
      </c>
      <c r="N8" s="1">
        <v>92</v>
      </c>
      <c r="O8" s="1">
        <v>0</v>
      </c>
      <c r="P8" s="1">
        <f t="shared" si="0"/>
        <v>98</v>
      </c>
      <c r="Q8" s="1" t="s">
        <v>19</v>
      </c>
    </row>
    <row r="9" spans="1:17" s="1" customFormat="1" x14ac:dyDescent="0.25">
      <c r="A9" s="1" t="s">
        <v>33</v>
      </c>
      <c r="B9" s="1" t="s">
        <v>34</v>
      </c>
      <c r="C9" s="1">
        <v>123090760</v>
      </c>
      <c r="E9" s="12">
        <v>46013.735925925903</v>
      </c>
      <c r="F9" s="1" t="s">
        <v>18</v>
      </c>
      <c r="H9" s="1">
        <v>509</v>
      </c>
      <c r="J9" s="1">
        <v>110</v>
      </c>
      <c r="K9" s="1">
        <v>98</v>
      </c>
      <c r="L9" s="1">
        <v>100</v>
      </c>
      <c r="M9" s="1">
        <v>110</v>
      </c>
      <c r="N9" s="1">
        <v>91</v>
      </c>
      <c r="O9" s="1">
        <v>0</v>
      </c>
      <c r="P9" s="1">
        <f t="shared" si="0"/>
        <v>97.75</v>
      </c>
      <c r="Q9" s="1" t="s">
        <v>19</v>
      </c>
    </row>
    <row r="10" spans="1:17" s="1" customFormat="1" x14ac:dyDescent="0.25">
      <c r="A10" s="1" t="s">
        <v>35</v>
      </c>
      <c r="B10" s="1" t="s">
        <v>36</v>
      </c>
      <c r="C10" s="1">
        <v>123090540</v>
      </c>
      <c r="E10" s="12">
        <v>46014.633842592601</v>
      </c>
      <c r="F10" s="1" t="s">
        <v>18</v>
      </c>
      <c r="H10" s="1">
        <v>526</v>
      </c>
      <c r="J10" s="1">
        <v>110</v>
      </c>
      <c r="K10" s="1">
        <v>100</v>
      </c>
      <c r="L10" s="1">
        <v>116</v>
      </c>
      <c r="M10" s="1">
        <v>110</v>
      </c>
      <c r="N10" s="1">
        <v>90</v>
      </c>
      <c r="O10" s="1">
        <v>0</v>
      </c>
      <c r="P10" s="1">
        <f t="shared" si="0"/>
        <v>97.5</v>
      </c>
      <c r="Q10" s="1" t="s">
        <v>19</v>
      </c>
    </row>
    <row r="11" spans="1:17" s="1" customFormat="1" x14ac:dyDescent="0.25">
      <c r="A11" s="1" t="s">
        <v>37</v>
      </c>
      <c r="B11" s="1" t="s">
        <v>38</v>
      </c>
      <c r="C11" s="1">
        <v>123090334</v>
      </c>
      <c r="E11" s="12">
        <v>46014.668564814798</v>
      </c>
      <c r="F11" s="1" t="s">
        <v>18</v>
      </c>
      <c r="H11" s="1">
        <v>522.5</v>
      </c>
      <c r="J11" s="1">
        <v>108</v>
      </c>
      <c r="K11" s="1">
        <v>95</v>
      </c>
      <c r="L11" s="1">
        <v>120</v>
      </c>
      <c r="M11" s="1">
        <v>110</v>
      </c>
      <c r="N11" s="1">
        <v>89.5</v>
      </c>
      <c r="O11" s="1">
        <v>0</v>
      </c>
      <c r="P11" s="1">
        <f t="shared" si="0"/>
        <v>97.375</v>
      </c>
      <c r="Q11" s="1" t="s">
        <v>19</v>
      </c>
    </row>
    <row r="12" spans="1:17" s="1" customFormat="1" x14ac:dyDescent="0.25">
      <c r="A12" s="1" t="s">
        <v>39</v>
      </c>
      <c r="B12" s="1" t="s">
        <v>40</v>
      </c>
      <c r="C12" s="1">
        <v>123090086</v>
      </c>
      <c r="E12" s="12">
        <v>46013.694259259297</v>
      </c>
      <c r="F12" s="1" t="s">
        <v>18</v>
      </c>
      <c r="H12" s="1">
        <v>524</v>
      </c>
      <c r="J12" s="1">
        <v>110</v>
      </c>
      <c r="K12" s="1">
        <v>95</v>
      </c>
      <c r="L12" s="1">
        <v>120</v>
      </c>
      <c r="M12" s="1">
        <v>110</v>
      </c>
      <c r="N12" s="1">
        <v>89</v>
      </c>
      <c r="O12" s="1">
        <v>0</v>
      </c>
      <c r="P12" s="1">
        <f t="shared" si="0"/>
        <v>97.25</v>
      </c>
      <c r="Q12" s="1" t="s">
        <v>19</v>
      </c>
    </row>
    <row r="13" spans="1:17" s="1" customFormat="1" x14ac:dyDescent="0.25">
      <c r="A13" s="1" t="s">
        <v>41</v>
      </c>
      <c r="B13" s="1" t="s">
        <v>42</v>
      </c>
      <c r="C13" s="1">
        <v>123090927</v>
      </c>
      <c r="E13" s="12">
        <v>46014.690092592602</v>
      </c>
      <c r="F13" s="1" t="s">
        <v>18</v>
      </c>
      <c r="H13" s="1">
        <v>519</v>
      </c>
      <c r="J13" s="1">
        <v>110</v>
      </c>
      <c r="K13" s="1">
        <v>100</v>
      </c>
      <c r="L13" s="1">
        <v>110</v>
      </c>
      <c r="M13" s="1">
        <v>110</v>
      </c>
      <c r="N13" s="1">
        <v>89</v>
      </c>
      <c r="O13" s="1">
        <v>0</v>
      </c>
      <c r="P13" s="1">
        <f t="shared" si="0"/>
        <v>97.25</v>
      </c>
      <c r="Q13" s="1" t="s">
        <v>19</v>
      </c>
    </row>
    <row r="14" spans="1:17" s="1" customFormat="1" x14ac:dyDescent="0.25">
      <c r="A14" s="1" t="s">
        <v>43</v>
      </c>
      <c r="B14" s="1" t="s">
        <v>44</v>
      </c>
      <c r="C14" s="1">
        <v>123090669</v>
      </c>
      <c r="E14" s="12">
        <v>45997.898634259298</v>
      </c>
      <c r="F14" s="1" t="s">
        <v>18</v>
      </c>
      <c r="H14" s="1">
        <v>516</v>
      </c>
      <c r="J14" s="1">
        <v>110</v>
      </c>
      <c r="K14" s="1">
        <v>100</v>
      </c>
      <c r="L14" s="1">
        <v>108</v>
      </c>
      <c r="M14" s="1">
        <v>110</v>
      </c>
      <c r="N14" s="1">
        <v>88</v>
      </c>
      <c r="O14" s="1">
        <v>0</v>
      </c>
      <c r="P14" s="1">
        <f t="shared" si="0"/>
        <v>97</v>
      </c>
      <c r="Q14" s="1" t="s">
        <v>19</v>
      </c>
    </row>
    <row r="15" spans="1:17" s="1" customFormat="1" x14ac:dyDescent="0.25">
      <c r="A15" s="1" t="s">
        <v>45</v>
      </c>
      <c r="B15" s="1" t="s">
        <v>46</v>
      </c>
      <c r="C15" s="1">
        <v>123090226</v>
      </c>
      <c r="E15" s="12">
        <v>46014.610358796301</v>
      </c>
      <c r="F15" s="1" t="s">
        <v>18</v>
      </c>
      <c r="H15" s="1">
        <v>516</v>
      </c>
      <c r="J15" s="1">
        <v>110</v>
      </c>
      <c r="K15" s="1">
        <v>100</v>
      </c>
      <c r="L15" s="1">
        <v>108</v>
      </c>
      <c r="M15" s="1">
        <v>110</v>
      </c>
      <c r="N15" s="1">
        <v>88</v>
      </c>
      <c r="O15" s="1">
        <v>0</v>
      </c>
      <c r="P15" s="1">
        <f t="shared" si="0"/>
        <v>97</v>
      </c>
      <c r="Q15" s="1" t="s">
        <v>19</v>
      </c>
    </row>
    <row r="16" spans="1:17" s="1" customFormat="1" x14ac:dyDescent="0.25">
      <c r="A16" s="1" t="s">
        <v>47</v>
      </c>
      <c r="B16" s="1" t="s">
        <v>48</v>
      </c>
      <c r="C16" s="1">
        <v>123090050</v>
      </c>
      <c r="E16" s="12">
        <v>46013.575462963003</v>
      </c>
      <c r="F16" s="1" t="s">
        <v>18</v>
      </c>
      <c r="H16" s="1">
        <v>517</v>
      </c>
      <c r="J16" s="1">
        <v>110</v>
      </c>
      <c r="K16" s="1">
        <v>100</v>
      </c>
      <c r="L16" s="1">
        <v>110</v>
      </c>
      <c r="M16" s="1">
        <v>110</v>
      </c>
      <c r="N16" s="1">
        <v>87</v>
      </c>
      <c r="O16" s="1">
        <v>0</v>
      </c>
      <c r="P16" s="1">
        <f t="shared" si="0"/>
        <v>96.75</v>
      </c>
      <c r="Q16" s="1" t="s">
        <v>19</v>
      </c>
    </row>
    <row r="17" spans="1:17" s="1" customFormat="1" x14ac:dyDescent="0.25">
      <c r="A17" s="1" t="s">
        <v>49</v>
      </c>
      <c r="B17" s="1" t="s">
        <v>50</v>
      </c>
      <c r="C17" s="1">
        <v>123030073</v>
      </c>
      <c r="E17" s="12">
        <v>46014.659664351799</v>
      </c>
      <c r="F17" s="1" t="s">
        <v>18</v>
      </c>
      <c r="H17" s="1">
        <v>495</v>
      </c>
      <c r="J17" s="1">
        <v>100</v>
      </c>
      <c r="K17" s="1">
        <v>100</v>
      </c>
      <c r="L17" s="1">
        <v>98</v>
      </c>
      <c r="M17" s="1">
        <v>110</v>
      </c>
      <c r="N17" s="1">
        <v>87</v>
      </c>
      <c r="O17" s="1">
        <v>0</v>
      </c>
      <c r="P17" s="1">
        <f t="shared" si="0"/>
        <v>96.75</v>
      </c>
      <c r="Q17" s="1" t="s">
        <v>19</v>
      </c>
    </row>
    <row r="18" spans="1:17" s="1" customFormat="1" x14ac:dyDescent="0.25">
      <c r="A18" s="1" t="s">
        <v>51</v>
      </c>
      <c r="B18" s="1" t="s">
        <v>52</v>
      </c>
      <c r="C18" s="1">
        <v>123090460</v>
      </c>
      <c r="E18" s="12">
        <v>46014.040740740696</v>
      </c>
      <c r="F18" s="1" t="s">
        <v>18</v>
      </c>
      <c r="H18" s="1">
        <v>492</v>
      </c>
      <c r="J18" s="1">
        <v>110</v>
      </c>
      <c r="K18" s="1">
        <v>95</v>
      </c>
      <c r="L18" s="1">
        <v>90</v>
      </c>
      <c r="M18" s="1">
        <v>110</v>
      </c>
      <c r="N18" s="1">
        <v>87</v>
      </c>
      <c r="O18" s="1">
        <v>0</v>
      </c>
      <c r="P18" s="1">
        <f t="shared" si="0"/>
        <v>96.75</v>
      </c>
      <c r="Q18" s="1" t="s">
        <v>19</v>
      </c>
    </row>
    <row r="19" spans="1:17" s="1" customFormat="1" x14ac:dyDescent="0.25">
      <c r="A19" s="1" t="s">
        <v>53</v>
      </c>
      <c r="B19" s="1" t="s">
        <v>54</v>
      </c>
      <c r="C19" s="1">
        <v>123090081</v>
      </c>
      <c r="E19" s="12">
        <v>46003.999270833301</v>
      </c>
      <c r="F19" s="1" t="s">
        <v>18</v>
      </c>
      <c r="H19" s="1">
        <v>506</v>
      </c>
      <c r="J19" s="1">
        <v>100</v>
      </c>
      <c r="K19" s="1">
        <v>100</v>
      </c>
      <c r="L19" s="1">
        <v>110</v>
      </c>
      <c r="M19" s="1">
        <v>110</v>
      </c>
      <c r="N19" s="1">
        <v>86</v>
      </c>
      <c r="O19" s="1">
        <v>0</v>
      </c>
      <c r="P19" s="1">
        <f t="shared" si="0"/>
        <v>96.5</v>
      </c>
      <c r="Q19" s="1" t="s">
        <v>19</v>
      </c>
    </row>
    <row r="20" spans="1:17" s="1" customFormat="1" x14ac:dyDescent="0.25">
      <c r="A20" s="1" t="s">
        <v>55</v>
      </c>
      <c r="B20" s="1" t="s">
        <v>56</v>
      </c>
      <c r="C20" s="1">
        <v>123090757</v>
      </c>
      <c r="E20" s="12">
        <v>45998.607685185198</v>
      </c>
      <c r="F20" s="1" t="s">
        <v>18</v>
      </c>
      <c r="H20" s="1">
        <v>500</v>
      </c>
      <c r="J20" s="1">
        <v>109</v>
      </c>
      <c r="K20" s="1">
        <v>95</v>
      </c>
      <c r="L20" s="1">
        <v>100</v>
      </c>
      <c r="M20" s="1">
        <v>110</v>
      </c>
      <c r="N20" s="1">
        <v>86</v>
      </c>
      <c r="O20" s="1">
        <v>0</v>
      </c>
      <c r="P20" s="1">
        <f t="shared" si="0"/>
        <v>96.5</v>
      </c>
      <c r="Q20" s="1" t="s">
        <v>19</v>
      </c>
    </row>
    <row r="21" spans="1:17" s="1" customFormat="1" x14ac:dyDescent="0.25">
      <c r="A21" s="1" t="s">
        <v>57</v>
      </c>
      <c r="B21" s="1" t="s">
        <v>58</v>
      </c>
      <c r="C21" s="1">
        <v>121020263</v>
      </c>
      <c r="E21" s="12">
        <v>46000.629571759302</v>
      </c>
      <c r="F21" s="1" t="s">
        <v>18</v>
      </c>
      <c r="H21" s="1">
        <v>496</v>
      </c>
      <c r="J21" s="1">
        <v>100</v>
      </c>
      <c r="K21" s="1">
        <v>100</v>
      </c>
      <c r="L21" s="1">
        <v>100</v>
      </c>
      <c r="M21" s="1">
        <v>110</v>
      </c>
      <c r="N21" s="1">
        <v>86</v>
      </c>
      <c r="O21" s="1">
        <v>0</v>
      </c>
      <c r="P21" s="1">
        <f t="shared" si="0"/>
        <v>96.5</v>
      </c>
      <c r="Q21" s="1" t="s">
        <v>19</v>
      </c>
    </row>
    <row r="22" spans="1:17" s="1" customFormat="1" x14ac:dyDescent="0.25">
      <c r="A22" s="1" t="s">
        <v>59</v>
      </c>
      <c r="B22" s="1" t="s">
        <v>60</v>
      </c>
      <c r="C22" s="1">
        <v>123090335</v>
      </c>
      <c r="E22" s="12">
        <v>46014.637442129599</v>
      </c>
      <c r="F22" s="1" t="s">
        <v>18</v>
      </c>
      <c r="H22" s="1">
        <v>525</v>
      </c>
      <c r="J22" s="1">
        <v>110</v>
      </c>
      <c r="K22" s="1">
        <v>100</v>
      </c>
      <c r="L22" s="1">
        <v>120</v>
      </c>
      <c r="M22" s="1">
        <v>110</v>
      </c>
      <c r="N22" s="1">
        <v>85</v>
      </c>
      <c r="O22" s="1">
        <v>0</v>
      </c>
      <c r="P22" s="1">
        <f t="shared" si="0"/>
        <v>96.25</v>
      </c>
      <c r="Q22" s="1" t="s">
        <v>19</v>
      </c>
    </row>
    <row r="23" spans="1:17" s="1" customFormat="1" x14ac:dyDescent="0.25">
      <c r="A23" s="1" t="s">
        <v>61</v>
      </c>
      <c r="B23" s="1" t="s">
        <v>62</v>
      </c>
      <c r="C23" s="1">
        <v>122090243</v>
      </c>
      <c r="D23" s="1" t="s">
        <v>24</v>
      </c>
      <c r="E23" s="12">
        <v>45998.4660532407</v>
      </c>
      <c r="F23" s="1" t="s">
        <v>18</v>
      </c>
      <c r="H23" s="1">
        <v>500</v>
      </c>
      <c r="J23" s="1">
        <v>105</v>
      </c>
      <c r="K23" s="1">
        <v>100</v>
      </c>
      <c r="L23" s="1">
        <v>100</v>
      </c>
      <c r="M23" s="1">
        <v>110</v>
      </c>
      <c r="N23" s="1">
        <v>85</v>
      </c>
      <c r="O23" s="1">
        <v>0</v>
      </c>
      <c r="P23" s="1">
        <f t="shared" si="0"/>
        <v>96.25</v>
      </c>
      <c r="Q23" s="1" t="s">
        <v>19</v>
      </c>
    </row>
    <row r="24" spans="1:17" s="1" customFormat="1" x14ac:dyDescent="0.25">
      <c r="A24" s="1" t="s">
        <v>63</v>
      </c>
      <c r="B24" s="1" t="s">
        <v>64</v>
      </c>
      <c r="C24" s="1">
        <v>123090300</v>
      </c>
      <c r="E24" s="12">
        <v>46006.661446759303</v>
      </c>
      <c r="F24" s="1" t="s">
        <v>18</v>
      </c>
      <c r="H24" s="1">
        <v>485</v>
      </c>
      <c r="J24" s="1">
        <v>100</v>
      </c>
      <c r="K24" s="1">
        <v>100</v>
      </c>
      <c r="L24" s="1">
        <v>100</v>
      </c>
      <c r="M24" s="1">
        <v>100</v>
      </c>
      <c r="N24" s="1">
        <v>85</v>
      </c>
      <c r="O24" s="1">
        <v>0</v>
      </c>
      <c r="P24" s="1">
        <f t="shared" si="0"/>
        <v>96.25</v>
      </c>
      <c r="Q24" s="1" t="s">
        <v>19</v>
      </c>
    </row>
    <row r="25" spans="1:17" s="1" customFormat="1" x14ac:dyDescent="0.25">
      <c r="A25" s="1" t="s">
        <v>65</v>
      </c>
      <c r="B25" s="1" t="s">
        <v>66</v>
      </c>
      <c r="C25" s="1">
        <v>123090015</v>
      </c>
      <c r="E25" s="12">
        <v>46014.618564814802</v>
      </c>
      <c r="F25" s="1" t="s">
        <v>18</v>
      </c>
      <c r="H25" s="1">
        <v>524</v>
      </c>
      <c r="J25" s="1">
        <v>110</v>
      </c>
      <c r="K25" s="1">
        <v>100</v>
      </c>
      <c r="L25" s="1">
        <v>120</v>
      </c>
      <c r="M25" s="1">
        <v>110</v>
      </c>
      <c r="N25" s="1">
        <v>84</v>
      </c>
      <c r="O25" s="1">
        <v>0</v>
      </c>
      <c r="P25" s="1">
        <f t="shared" si="0"/>
        <v>96</v>
      </c>
      <c r="Q25" s="1" t="s">
        <v>19</v>
      </c>
    </row>
    <row r="26" spans="1:17" s="1" customFormat="1" x14ac:dyDescent="0.25">
      <c r="A26" s="1" t="s">
        <v>67</v>
      </c>
      <c r="B26" s="1" t="s">
        <v>68</v>
      </c>
      <c r="C26" s="1">
        <v>123090836</v>
      </c>
      <c r="E26" s="12">
        <v>46014.6817592593</v>
      </c>
      <c r="F26" s="1" t="s">
        <v>18</v>
      </c>
      <c r="H26" s="1">
        <v>512.5</v>
      </c>
      <c r="I26" s="1">
        <v>0.5</v>
      </c>
      <c r="J26" s="1">
        <v>110</v>
      </c>
      <c r="K26" s="1">
        <v>100</v>
      </c>
      <c r="L26" s="1">
        <v>110</v>
      </c>
      <c r="M26" s="1">
        <v>110</v>
      </c>
      <c r="N26" s="1">
        <v>82</v>
      </c>
      <c r="O26" s="1">
        <v>0</v>
      </c>
      <c r="P26" s="1">
        <f t="shared" si="0"/>
        <v>96</v>
      </c>
      <c r="Q26" s="1" t="s">
        <v>19</v>
      </c>
    </row>
    <row r="27" spans="1:17" s="1" customFormat="1" x14ac:dyDescent="0.25">
      <c r="A27" s="1" t="s">
        <v>69</v>
      </c>
      <c r="B27" s="1" t="s">
        <v>70</v>
      </c>
      <c r="C27" s="1">
        <v>123090007</v>
      </c>
      <c r="E27" s="12">
        <v>46014.3199537037</v>
      </c>
      <c r="F27" s="1" t="s">
        <v>18</v>
      </c>
      <c r="H27" s="1">
        <v>509</v>
      </c>
      <c r="J27" s="1">
        <v>105</v>
      </c>
      <c r="K27" s="1">
        <v>100</v>
      </c>
      <c r="L27" s="1">
        <v>110</v>
      </c>
      <c r="M27" s="1">
        <v>110</v>
      </c>
      <c r="N27" s="1">
        <v>84</v>
      </c>
      <c r="O27" s="1">
        <v>0</v>
      </c>
      <c r="P27" s="1">
        <f t="shared" si="0"/>
        <v>96</v>
      </c>
      <c r="Q27" s="1" t="s">
        <v>19</v>
      </c>
    </row>
    <row r="28" spans="1:17" s="1" customFormat="1" x14ac:dyDescent="0.25">
      <c r="A28" s="1" t="s">
        <v>71</v>
      </c>
      <c r="B28" s="1" t="s">
        <v>72</v>
      </c>
      <c r="C28" s="1">
        <v>123090408</v>
      </c>
      <c r="E28" s="12">
        <v>46013.643518518496</v>
      </c>
      <c r="F28" s="1" t="s">
        <v>18</v>
      </c>
      <c r="H28" s="1">
        <v>500</v>
      </c>
      <c r="J28" s="1">
        <v>110</v>
      </c>
      <c r="K28" s="1">
        <v>100</v>
      </c>
      <c r="L28" s="1">
        <v>96</v>
      </c>
      <c r="M28" s="1">
        <v>110</v>
      </c>
      <c r="N28" s="1">
        <v>84</v>
      </c>
      <c r="O28" s="1">
        <v>0</v>
      </c>
      <c r="P28" s="1">
        <f t="shared" si="0"/>
        <v>96</v>
      </c>
      <c r="Q28" s="1" t="s">
        <v>19</v>
      </c>
    </row>
    <row r="29" spans="1:17" s="1" customFormat="1" x14ac:dyDescent="0.25">
      <c r="A29" s="1" t="s">
        <v>73</v>
      </c>
      <c r="B29" s="1" t="s">
        <v>74</v>
      </c>
      <c r="C29" s="1">
        <v>123090423</v>
      </c>
      <c r="E29" s="12">
        <v>45997.711087962998</v>
      </c>
      <c r="F29" s="1" t="s">
        <v>18</v>
      </c>
      <c r="H29" s="1">
        <v>494</v>
      </c>
      <c r="J29" s="1">
        <v>100</v>
      </c>
      <c r="K29" s="1">
        <v>100</v>
      </c>
      <c r="L29" s="1">
        <v>100</v>
      </c>
      <c r="M29" s="1">
        <v>110</v>
      </c>
      <c r="N29" s="1">
        <v>84</v>
      </c>
      <c r="O29" s="1">
        <v>0</v>
      </c>
      <c r="P29" s="1">
        <f t="shared" si="0"/>
        <v>96</v>
      </c>
      <c r="Q29" s="1" t="s">
        <v>19</v>
      </c>
    </row>
    <row r="30" spans="1:17" s="1" customFormat="1" x14ac:dyDescent="0.25">
      <c r="A30" s="1" t="s">
        <v>75</v>
      </c>
      <c r="B30" s="1" t="s">
        <v>76</v>
      </c>
      <c r="C30" s="1">
        <v>123090823</v>
      </c>
      <c r="E30" s="12">
        <v>46014.670775462997</v>
      </c>
      <c r="F30" s="1" t="s">
        <v>18</v>
      </c>
      <c r="H30" s="1">
        <v>487</v>
      </c>
      <c r="J30" s="1">
        <v>100</v>
      </c>
      <c r="K30" s="1">
        <v>90</v>
      </c>
      <c r="L30" s="1">
        <v>103</v>
      </c>
      <c r="M30" s="1">
        <v>110</v>
      </c>
      <c r="N30" s="1">
        <v>84</v>
      </c>
      <c r="O30" s="1">
        <v>0</v>
      </c>
      <c r="P30" s="1">
        <f t="shared" si="0"/>
        <v>96</v>
      </c>
      <c r="Q30" s="1" t="s">
        <v>19</v>
      </c>
    </row>
    <row r="31" spans="1:17" s="1" customFormat="1" x14ac:dyDescent="0.25">
      <c r="A31" s="1" t="s">
        <v>77</v>
      </c>
      <c r="B31" s="1" t="s">
        <v>78</v>
      </c>
      <c r="C31" s="1">
        <v>123090746</v>
      </c>
      <c r="E31" s="12">
        <v>45998.048634259299</v>
      </c>
      <c r="F31" s="1" t="s">
        <v>18</v>
      </c>
      <c r="H31" s="1">
        <v>483</v>
      </c>
      <c r="J31" s="1">
        <v>100</v>
      </c>
      <c r="K31" s="1">
        <v>100</v>
      </c>
      <c r="L31" s="1">
        <v>89</v>
      </c>
      <c r="M31" s="1">
        <v>110</v>
      </c>
      <c r="N31" s="1">
        <v>84</v>
      </c>
      <c r="O31" s="1">
        <v>0</v>
      </c>
      <c r="P31" s="1">
        <f t="shared" si="0"/>
        <v>95.825000000000003</v>
      </c>
      <c r="Q31" s="1" t="s">
        <v>19</v>
      </c>
    </row>
    <row r="32" spans="1:17" s="1" customFormat="1" x14ac:dyDescent="0.25">
      <c r="A32" s="1" t="s">
        <v>79</v>
      </c>
      <c r="B32" s="1" t="s">
        <v>80</v>
      </c>
      <c r="C32" s="1">
        <v>123090419</v>
      </c>
      <c r="E32" s="12">
        <v>45998.479317129597</v>
      </c>
      <c r="F32" s="1" t="s">
        <v>18</v>
      </c>
      <c r="H32" s="1">
        <v>513</v>
      </c>
      <c r="J32" s="1">
        <v>110</v>
      </c>
      <c r="K32" s="1">
        <v>100</v>
      </c>
      <c r="L32" s="1">
        <v>110</v>
      </c>
      <c r="M32" s="1">
        <v>110</v>
      </c>
      <c r="N32" s="1">
        <v>83</v>
      </c>
      <c r="O32" s="1">
        <v>0</v>
      </c>
      <c r="P32" s="1">
        <f t="shared" si="0"/>
        <v>95.75</v>
      </c>
      <c r="Q32" s="1" t="s">
        <v>19</v>
      </c>
    </row>
    <row r="33" spans="1:17" s="1" customFormat="1" x14ac:dyDescent="0.25">
      <c r="A33" s="1" t="s">
        <v>81</v>
      </c>
      <c r="B33" s="1" t="s">
        <v>82</v>
      </c>
      <c r="C33" s="1">
        <v>122020255</v>
      </c>
      <c r="D33" s="1" t="s">
        <v>24</v>
      </c>
      <c r="E33" s="12">
        <v>46011.960682870398</v>
      </c>
      <c r="F33" s="1" t="s">
        <v>18</v>
      </c>
      <c r="H33" s="1">
        <v>513</v>
      </c>
      <c r="J33" s="1">
        <v>100</v>
      </c>
      <c r="K33" s="1">
        <v>100</v>
      </c>
      <c r="L33" s="1">
        <v>120</v>
      </c>
      <c r="M33" s="1">
        <v>110</v>
      </c>
      <c r="N33" s="1">
        <v>83</v>
      </c>
      <c r="O33" s="1">
        <v>0</v>
      </c>
      <c r="P33" s="1">
        <f t="shared" si="0"/>
        <v>95.75</v>
      </c>
      <c r="Q33" s="1" t="s">
        <v>19</v>
      </c>
    </row>
    <row r="34" spans="1:17" s="1" customFormat="1" x14ac:dyDescent="0.25">
      <c r="A34" s="1" t="s">
        <v>83</v>
      </c>
      <c r="B34" s="1" t="s">
        <v>84</v>
      </c>
      <c r="C34" s="1">
        <v>123090586</v>
      </c>
      <c r="E34" s="12">
        <v>46010.621863425898</v>
      </c>
      <c r="F34" s="1" t="s">
        <v>18</v>
      </c>
      <c r="H34" s="1">
        <v>503</v>
      </c>
      <c r="J34" s="1">
        <v>110</v>
      </c>
      <c r="K34" s="1">
        <v>100</v>
      </c>
      <c r="L34" s="1">
        <v>100</v>
      </c>
      <c r="M34" s="1">
        <v>110</v>
      </c>
      <c r="N34" s="1">
        <v>83</v>
      </c>
      <c r="O34" s="1">
        <v>0</v>
      </c>
      <c r="P34" s="1">
        <f t="shared" ref="P34:P65" si="1">MIN(SUM(J34:M34),400)/4*0.7+I34+N34*0.25+5+O34</f>
        <v>95.75</v>
      </c>
      <c r="Q34" s="1" t="s">
        <v>19</v>
      </c>
    </row>
    <row r="35" spans="1:17" s="1" customFormat="1" x14ac:dyDescent="0.25">
      <c r="A35" s="1" t="s">
        <v>85</v>
      </c>
      <c r="B35" s="1" t="s">
        <v>86</v>
      </c>
      <c r="C35" s="1">
        <v>123090740</v>
      </c>
      <c r="E35" s="12">
        <v>46014.049074074101</v>
      </c>
      <c r="F35" s="1" t="s">
        <v>18</v>
      </c>
      <c r="H35" s="1">
        <v>493</v>
      </c>
      <c r="J35" s="1">
        <v>100</v>
      </c>
      <c r="K35" s="1">
        <v>100</v>
      </c>
      <c r="L35" s="1">
        <v>100</v>
      </c>
      <c r="M35" s="1">
        <v>110</v>
      </c>
      <c r="N35" s="1">
        <v>83</v>
      </c>
      <c r="O35" s="1">
        <v>0</v>
      </c>
      <c r="P35" s="1">
        <f t="shared" si="1"/>
        <v>95.75</v>
      </c>
      <c r="Q35" s="1" t="s">
        <v>19</v>
      </c>
    </row>
    <row r="36" spans="1:17" s="2" customFormat="1" x14ac:dyDescent="0.25">
      <c r="A36" s="2" t="s">
        <v>87</v>
      </c>
      <c r="B36" s="2" t="s">
        <v>88</v>
      </c>
      <c r="C36" s="2">
        <v>121020250</v>
      </c>
      <c r="E36" s="13">
        <v>46014.623553240701</v>
      </c>
      <c r="F36" s="2" t="s">
        <v>18</v>
      </c>
      <c r="H36" s="2">
        <v>481.5</v>
      </c>
      <c r="J36" s="2">
        <v>90</v>
      </c>
      <c r="K36" s="2">
        <v>100</v>
      </c>
      <c r="L36" s="2">
        <v>96</v>
      </c>
      <c r="M36" s="2">
        <v>110</v>
      </c>
      <c r="N36" s="2">
        <v>85.5</v>
      </c>
      <c r="O36" s="2">
        <v>0</v>
      </c>
      <c r="P36" s="2">
        <f t="shared" si="1"/>
        <v>95.674999999999997</v>
      </c>
      <c r="Q36" s="2" t="s">
        <v>19</v>
      </c>
    </row>
    <row r="37" spans="1:17" s="2" customFormat="1" x14ac:dyDescent="0.25">
      <c r="A37" s="2" t="s">
        <v>89</v>
      </c>
      <c r="B37" s="2" t="s">
        <v>90</v>
      </c>
      <c r="C37" s="2">
        <v>123090377</v>
      </c>
      <c r="E37" s="13">
        <v>46014.621469907397</v>
      </c>
      <c r="F37" s="2" t="s">
        <v>18</v>
      </c>
      <c r="H37" s="2">
        <v>502.5</v>
      </c>
      <c r="J37" s="2">
        <v>110</v>
      </c>
      <c r="K37" s="2">
        <v>100</v>
      </c>
      <c r="L37" s="2">
        <v>100</v>
      </c>
      <c r="M37" s="2">
        <v>110</v>
      </c>
      <c r="N37" s="2">
        <v>82.5</v>
      </c>
      <c r="O37" s="2">
        <v>0</v>
      </c>
      <c r="P37" s="2">
        <f t="shared" si="1"/>
        <v>95.625</v>
      </c>
      <c r="Q37" s="2" t="s">
        <v>19</v>
      </c>
    </row>
    <row r="38" spans="1:17" s="3" customFormat="1" x14ac:dyDescent="0.25">
      <c r="A38" s="3" t="s">
        <v>91</v>
      </c>
      <c r="B38" s="3" t="s">
        <v>92</v>
      </c>
      <c r="C38" s="3">
        <v>123090302</v>
      </c>
      <c r="E38" s="14">
        <v>46013.697685185201</v>
      </c>
      <c r="F38" s="3" t="s">
        <v>18</v>
      </c>
      <c r="H38" s="3">
        <v>519</v>
      </c>
      <c r="J38" s="3">
        <v>107</v>
      </c>
      <c r="K38" s="3">
        <v>100</v>
      </c>
      <c r="L38" s="3">
        <v>120</v>
      </c>
      <c r="M38" s="3">
        <v>110</v>
      </c>
      <c r="N38" s="3">
        <v>82</v>
      </c>
      <c r="O38" s="3">
        <v>0</v>
      </c>
      <c r="P38" s="3">
        <f t="shared" si="1"/>
        <v>95.5</v>
      </c>
      <c r="Q38" s="3" t="s">
        <v>93</v>
      </c>
    </row>
    <row r="39" spans="1:17" s="3" customFormat="1" x14ac:dyDescent="0.25">
      <c r="A39" s="3" t="s">
        <v>94</v>
      </c>
      <c r="B39" s="3" t="s">
        <v>95</v>
      </c>
      <c r="C39" s="3">
        <v>122090643</v>
      </c>
      <c r="E39" s="14">
        <v>46014.663136574098</v>
      </c>
      <c r="F39" s="3" t="s">
        <v>18</v>
      </c>
      <c r="H39" s="3">
        <v>517</v>
      </c>
      <c r="J39" s="3">
        <v>110</v>
      </c>
      <c r="K39" s="3">
        <v>100</v>
      </c>
      <c r="L39" s="3">
        <v>115</v>
      </c>
      <c r="M39" s="3">
        <v>110</v>
      </c>
      <c r="N39" s="3">
        <v>82</v>
      </c>
      <c r="O39" s="3">
        <v>0</v>
      </c>
      <c r="P39" s="3">
        <f t="shared" si="1"/>
        <v>95.5</v>
      </c>
      <c r="Q39" s="3" t="s">
        <v>93</v>
      </c>
    </row>
    <row r="40" spans="1:17" s="3" customFormat="1" x14ac:dyDescent="0.25">
      <c r="A40" s="3" t="s">
        <v>96</v>
      </c>
      <c r="B40" s="3" t="s">
        <v>97</v>
      </c>
      <c r="C40" s="3">
        <v>123090406</v>
      </c>
      <c r="E40" s="14">
        <v>46011.262071759302</v>
      </c>
      <c r="F40" s="3" t="s">
        <v>18</v>
      </c>
      <c r="H40" s="3">
        <v>499</v>
      </c>
      <c r="J40" s="3">
        <v>110</v>
      </c>
      <c r="K40" s="3">
        <v>100</v>
      </c>
      <c r="L40" s="3">
        <v>98</v>
      </c>
      <c r="M40" s="3">
        <v>109</v>
      </c>
      <c r="N40" s="3">
        <v>82</v>
      </c>
      <c r="O40" s="3">
        <v>0</v>
      </c>
      <c r="P40" s="3">
        <f t="shared" si="1"/>
        <v>95.5</v>
      </c>
      <c r="Q40" s="3" t="s">
        <v>93</v>
      </c>
    </row>
    <row r="41" spans="1:17" s="3" customFormat="1" x14ac:dyDescent="0.25">
      <c r="A41" s="3" t="s">
        <v>98</v>
      </c>
      <c r="B41" s="3" t="s">
        <v>99</v>
      </c>
      <c r="C41" s="3">
        <v>123090880</v>
      </c>
      <c r="E41" s="14">
        <v>46013.639398148101</v>
      </c>
      <c r="F41" s="3" t="s">
        <v>18</v>
      </c>
      <c r="H41" s="3">
        <v>480</v>
      </c>
      <c r="J41" s="3">
        <v>80</v>
      </c>
      <c r="K41" s="3">
        <v>100</v>
      </c>
      <c r="L41" s="3">
        <v>106</v>
      </c>
      <c r="M41" s="3">
        <v>110</v>
      </c>
      <c r="N41" s="3">
        <v>84</v>
      </c>
      <c r="O41" s="3">
        <v>0</v>
      </c>
      <c r="P41" s="3">
        <f t="shared" si="1"/>
        <v>95.3</v>
      </c>
      <c r="Q41" s="3" t="s">
        <v>93</v>
      </c>
    </row>
    <row r="42" spans="1:17" s="3" customFormat="1" x14ac:dyDescent="0.25">
      <c r="A42" s="3" t="s">
        <v>100</v>
      </c>
      <c r="B42" s="3" t="s">
        <v>101</v>
      </c>
      <c r="C42" s="3">
        <v>123090453</v>
      </c>
      <c r="E42" s="14">
        <v>46013.638657407399</v>
      </c>
      <c r="F42" s="3" t="s">
        <v>18</v>
      </c>
      <c r="H42" s="3">
        <v>480</v>
      </c>
      <c r="J42" s="3">
        <v>100</v>
      </c>
      <c r="K42" s="3">
        <v>100</v>
      </c>
      <c r="L42" s="3">
        <v>86</v>
      </c>
      <c r="M42" s="3">
        <v>110</v>
      </c>
      <c r="N42" s="3">
        <v>84</v>
      </c>
      <c r="O42" s="3">
        <v>0</v>
      </c>
      <c r="P42" s="3">
        <f t="shared" si="1"/>
        <v>95.3</v>
      </c>
      <c r="Q42" s="3" t="s">
        <v>93</v>
      </c>
    </row>
    <row r="43" spans="1:17" s="3" customFormat="1" x14ac:dyDescent="0.25">
      <c r="A43" s="3" t="s">
        <v>102</v>
      </c>
      <c r="B43" s="3" t="s">
        <v>103</v>
      </c>
      <c r="C43" s="3">
        <v>123090601</v>
      </c>
      <c r="E43" s="14">
        <v>45997.8742824074</v>
      </c>
      <c r="F43" s="3" t="s">
        <v>18</v>
      </c>
      <c r="H43" s="3">
        <v>485.5</v>
      </c>
      <c r="I43" s="3">
        <v>0.5</v>
      </c>
      <c r="J43" s="3">
        <v>110</v>
      </c>
      <c r="K43" s="3">
        <v>100</v>
      </c>
      <c r="L43" s="3">
        <v>96</v>
      </c>
      <c r="M43" s="3">
        <v>100</v>
      </c>
      <c r="N43" s="3">
        <v>79</v>
      </c>
      <c r="O43" s="3">
        <v>0</v>
      </c>
      <c r="P43" s="3">
        <f t="shared" si="1"/>
        <v>95.25</v>
      </c>
      <c r="Q43" s="3" t="s">
        <v>93</v>
      </c>
    </row>
    <row r="44" spans="1:17" s="3" customFormat="1" x14ac:dyDescent="0.25">
      <c r="A44" s="3" t="s">
        <v>104</v>
      </c>
      <c r="B44" s="3" t="s">
        <v>105</v>
      </c>
      <c r="C44" s="3">
        <v>123090908</v>
      </c>
      <c r="E44" s="14">
        <v>46013.6324074074</v>
      </c>
      <c r="F44" s="3" t="s">
        <v>18</v>
      </c>
      <c r="H44" s="3">
        <v>486</v>
      </c>
      <c r="J44" s="3">
        <v>110</v>
      </c>
      <c r="K44" s="3">
        <v>100</v>
      </c>
      <c r="L44" s="3">
        <v>95</v>
      </c>
      <c r="M44" s="3">
        <v>100</v>
      </c>
      <c r="N44" s="3">
        <v>81</v>
      </c>
      <c r="O44" s="3">
        <v>0</v>
      </c>
      <c r="P44" s="3">
        <f t="shared" si="1"/>
        <v>95.25</v>
      </c>
      <c r="Q44" s="3" t="s">
        <v>93</v>
      </c>
    </row>
    <row r="45" spans="1:17" s="3" customFormat="1" x14ac:dyDescent="0.25">
      <c r="A45" s="3" t="s">
        <v>106</v>
      </c>
      <c r="B45" s="3" t="s">
        <v>107</v>
      </c>
      <c r="C45" s="3">
        <v>123090073</v>
      </c>
      <c r="E45" s="14">
        <v>45998.832951388897</v>
      </c>
      <c r="F45" s="3" t="s">
        <v>18</v>
      </c>
      <c r="H45" s="3">
        <v>510</v>
      </c>
      <c r="J45" s="3">
        <v>110</v>
      </c>
      <c r="K45" s="3">
        <v>95</v>
      </c>
      <c r="L45" s="3">
        <v>115</v>
      </c>
      <c r="M45" s="3">
        <v>110</v>
      </c>
      <c r="N45" s="3">
        <v>80</v>
      </c>
      <c r="O45" s="3">
        <v>0</v>
      </c>
      <c r="P45" s="3">
        <f t="shared" si="1"/>
        <v>95</v>
      </c>
      <c r="Q45" s="3" t="s">
        <v>93</v>
      </c>
    </row>
    <row r="46" spans="1:17" s="3" customFormat="1" x14ac:dyDescent="0.25">
      <c r="A46" s="3" t="s">
        <v>108</v>
      </c>
      <c r="B46" s="3" t="s">
        <v>109</v>
      </c>
      <c r="C46" s="3">
        <v>123090402</v>
      </c>
      <c r="E46" s="14">
        <v>46014.6817592593</v>
      </c>
      <c r="F46" s="3" t="s">
        <v>18</v>
      </c>
      <c r="H46" s="3">
        <v>512</v>
      </c>
      <c r="J46" s="3">
        <v>105</v>
      </c>
      <c r="K46" s="3">
        <v>100</v>
      </c>
      <c r="L46" s="3">
        <v>118</v>
      </c>
      <c r="M46" s="3">
        <v>110</v>
      </c>
      <c r="N46" s="3">
        <v>79</v>
      </c>
      <c r="O46" s="3">
        <v>0</v>
      </c>
      <c r="P46" s="3">
        <f t="shared" si="1"/>
        <v>94.75</v>
      </c>
      <c r="Q46" s="3" t="s">
        <v>93</v>
      </c>
    </row>
    <row r="47" spans="1:17" s="3" customFormat="1" x14ac:dyDescent="0.25">
      <c r="A47" s="3" t="s">
        <v>110</v>
      </c>
      <c r="B47" s="3" t="s">
        <v>111</v>
      </c>
      <c r="C47" s="3">
        <v>122090069</v>
      </c>
      <c r="D47" s="3" t="s">
        <v>24</v>
      </c>
      <c r="E47" s="14">
        <v>45999.410682870403</v>
      </c>
      <c r="F47" s="3" t="s">
        <v>18</v>
      </c>
      <c r="H47" s="3">
        <v>489</v>
      </c>
      <c r="J47" s="3">
        <v>110</v>
      </c>
      <c r="K47" s="3">
        <v>100</v>
      </c>
      <c r="L47" s="3">
        <v>100</v>
      </c>
      <c r="M47" s="3">
        <v>100</v>
      </c>
      <c r="N47" s="3">
        <v>79</v>
      </c>
      <c r="O47" s="3">
        <v>0</v>
      </c>
      <c r="P47" s="3">
        <f t="shared" si="1"/>
        <v>94.75</v>
      </c>
      <c r="Q47" s="3" t="s">
        <v>93</v>
      </c>
    </row>
    <row r="48" spans="1:17" s="3" customFormat="1" x14ac:dyDescent="0.25">
      <c r="A48" s="3" t="s">
        <v>112</v>
      </c>
      <c r="B48" s="3" t="s">
        <v>113</v>
      </c>
      <c r="C48" s="3">
        <v>123090487</v>
      </c>
      <c r="E48" s="14">
        <v>45998.397303240701</v>
      </c>
      <c r="F48" s="3" t="s">
        <v>18</v>
      </c>
      <c r="H48" s="3">
        <v>504</v>
      </c>
      <c r="J48" s="3">
        <v>108</v>
      </c>
      <c r="K48" s="3">
        <v>98</v>
      </c>
      <c r="L48" s="3">
        <v>110</v>
      </c>
      <c r="M48" s="3">
        <v>110</v>
      </c>
      <c r="N48" s="3">
        <v>78</v>
      </c>
      <c r="O48" s="3">
        <v>0</v>
      </c>
      <c r="P48" s="3">
        <f t="shared" si="1"/>
        <v>94.5</v>
      </c>
      <c r="Q48" s="3" t="s">
        <v>93</v>
      </c>
    </row>
    <row r="49" spans="1:17" s="3" customFormat="1" x14ac:dyDescent="0.25">
      <c r="A49" s="3" t="s">
        <v>114</v>
      </c>
      <c r="B49" s="3" t="s">
        <v>115</v>
      </c>
      <c r="C49" s="3">
        <v>123090721</v>
      </c>
      <c r="E49" s="14">
        <v>46013.634490740696</v>
      </c>
      <c r="F49" s="3" t="s">
        <v>18</v>
      </c>
      <c r="H49" s="3">
        <v>498</v>
      </c>
      <c r="J49" s="3">
        <v>110</v>
      </c>
      <c r="K49" s="3">
        <v>100</v>
      </c>
      <c r="L49" s="3">
        <v>100</v>
      </c>
      <c r="M49" s="3">
        <v>110</v>
      </c>
      <c r="N49" s="3">
        <v>78</v>
      </c>
      <c r="O49" s="3">
        <v>0</v>
      </c>
      <c r="P49" s="3">
        <f t="shared" si="1"/>
        <v>94.5</v>
      </c>
      <c r="Q49" s="3" t="s">
        <v>93</v>
      </c>
    </row>
    <row r="50" spans="1:17" s="3" customFormat="1" x14ac:dyDescent="0.25">
      <c r="A50" s="3" t="s">
        <v>116</v>
      </c>
      <c r="B50" s="3" t="s">
        <v>117</v>
      </c>
      <c r="C50" s="3">
        <v>123090884</v>
      </c>
      <c r="E50" s="14">
        <v>46013.656018518501</v>
      </c>
      <c r="F50" s="3" t="s">
        <v>18</v>
      </c>
      <c r="H50" s="3">
        <v>493</v>
      </c>
      <c r="J50" s="3">
        <v>110</v>
      </c>
      <c r="K50" s="3">
        <v>100</v>
      </c>
      <c r="L50" s="3">
        <v>95</v>
      </c>
      <c r="M50" s="3">
        <v>110</v>
      </c>
      <c r="N50" s="3">
        <v>78</v>
      </c>
      <c r="O50" s="3">
        <v>0</v>
      </c>
      <c r="P50" s="3">
        <f t="shared" si="1"/>
        <v>94.5</v>
      </c>
      <c r="Q50" s="3" t="s">
        <v>93</v>
      </c>
    </row>
    <row r="51" spans="1:17" s="3" customFormat="1" x14ac:dyDescent="0.25">
      <c r="A51" s="3" t="s">
        <v>118</v>
      </c>
      <c r="B51" s="3" t="s">
        <v>119</v>
      </c>
      <c r="C51" s="3">
        <v>123040019</v>
      </c>
      <c r="E51" s="14">
        <v>46004.841041666703</v>
      </c>
      <c r="F51" s="3" t="s">
        <v>18</v>
      </c>
      <c r="H51" s="3">
        <v>481</v>
      </c>
      <c r="J51" s="3">
        <v>100</v>
      </c>
      <c r="K51" s="3">
        <v>95</v>
      </c>
      <c r="L51" s="3">
        <v>98</v>
      </c>
      <c r="M51" s="3">
        <v>110</v>
      </c>
      <c r="N51" s="3">
        <v>78</v>
      </c>
      <c r="O51" s="3">
        <v>0</v>
      </c>
      <c r="P51" s="3">
        <f t="shared" si="1"/>
        <v>94.5</v>
      </c>
      <c r="Q51" s="3" t="s">
        <v>93</v>
      </c>
    </row>
    <row r="52" spans="1:17" s="3" customFormat="1" x14ac:dyDescent="0.25">
      <c r="A52" s="3" t="s">
        <v>120</v>
      </c>
      <c r="B52" s="3" t="s">
        <v>121</v>
      </c>
      <c r="C52" s="3">
        <v>123090155</v>
      </c>
      <c r="E52" s="14">
        <v>46013.715092592603</v>
      </c>
      <c r="F52" s="3" t="s">
        <v>18</v>
      </c>
      <c r="H52" s="3">
        <v>495</v>
      </c>
      <c r="J52" s="3">
        <v>110</v>
      </c>
      <c r="K52" s="3">
        <v>100</v>
      </c>
      <c r="L52" s="3">
        <v>98</v>
      </c>
      <c r="M52" s="3">
        <v>110</v>
      </c>
      <c r="N52" s="3">
        <v>77</v>
      </c>
      <c r="O52" s="3">
        <v>0</v>
      </c>
      <c r="P52" s="3">
        <f t="shared" si="1"/>
        <v>94.25</v>
      </c>
      <c r="Q52" s="3" t="s">
        <v>93</v>
      </c>
    </row>
    <row r="53" spans="1:17" s="3" customFormat="1" x14ac:dyDescent="0.25">
      <c r="A53" s="3" t="s">
        <v>122</v>
      </c>
      <c r="B53" s="3" t="s">
        <v>123</v>
      </c>
      <c r="C53" s="3">
        <v>123090108</v>
      </c>
      <c r="E53" s="14">
        <v>46013.576203703698</v>
      </c>
      <c r="F53" s="3" t="s">
        <v>18</v>
      </c>
      <c r="H53" s="3">
        <v>477</v>
      </c>
      <c r="J53" s="3">
        <v>80</v>
      </c>
      <c r="K53" s="3">
        <v>100</v>
      </c>
      <c r="L53" s="3">
        <v>110</v>
      </c>
      <c r="M53" s="3">
        <v>110</v>
      </c>
      <c r="N53" s="3">
        <v>77</v>
      </c>
      <c r="O53" s="3">
        <v>0</v>
      </c>
      <c r="P53" s="3">
        <f t="shared" si="1"/>
        <v>94.25</v>
      </c>
      <c r="Q53" s="3" t="s">
        <v>93</v>
      </c>
    </row>
    <row r="54" spans="1:17" s="3" customFormat="1" x14ac:dyDescent="0.25">
      <c r="A54" s="3" t="s">
        <v>124</v>
      </c>
      <c r="B54" s="3" t="s">
        <v>125</v>
      </c>
      <c r="C54" s="3">
        <v>123090309</v>
      </c>
      <c r="E54" s="14">
        <v>46014.6714699074</v>
      </c>
      <c r="F54" s="3" t="s">
        <v>18</v>
      </c>
      <c r="H54" s="3">
        <v>498</v>
      </c>
      <c r="J54" s="3">
        <v>110</v>
      </c>
      <c r="K54" s="3">
        <v>100</v>
      </c>
      <c r="L54" s="3">
        <v>103</v>
      </c>
      <c r="M54" s="3">
        <v>110</v>
      </c>
      <c r="N54" s="3">
        <v>75</v>
      </c>
      <c r="O54" s="3">
        <v>0</v>
      </c>
      <c r="P54" s="3">
        <f t="shared" si="1"/>
        <v>93.75</v>
      </c>
      <c r="Q54" s="3" t="s">
        <v>93</v>
      </c>
    </row>
    <row r="55" spans="1:17" s="3" customFormat="1" x14ac:dyDescent="0.25">
      <c r="A55" s="3" t="s">
        <v>126</v>
      </c>
      <c r="B55" s="3" t="s">
        <v>127</v>
      </c>
      <c r="C55" s="3">
        <v>123090769</v>
      </c>
      <c r="E55" s="14">
        <v>46014.371342592603</v>
      </c>
      <c r="F55" s="3" t="s">
        <v>18</v>
      </c>
      <c r="H55" s="3">
        <v>485</v>
      </c>
      <c r="J55" s="3">
        <v>110</v>
      </c>
      <c r="K55" s="3">
        <v>90</v>
      </c>
      <c r="L55" s="3">
        <v>100</v>
      </c>
      <c r="M55" s="3">
        <v>110</v>
      </c>
      <c r="N55" s="3">
        <v>75</v>
      </c>
      <c r="O55" s="3">
        <v>0</v>
      </c>
      <c r="P55" s="3">
        <f t="shared" si="1"/>
        <v>93.75</v>
      </c>
      <c r="Q55" s="3" t="s">
        <v>93</v>
      </c>
    </row>
    <row r="56" spans="1:17" s="3" customFormat="1" x14ac:dyDescent="0.25">
      <c r="A56" s="3" t="s">
        <v>128</v>
      </c>
      <c r="B56" s="3" t="s">
        <v>129</v>
      </c>
      <c r="C56" s="3">
        <v>123090661</v>
      </c>
      <c r="E56" s="14">
        <v>46013.762962963003</v>
      </c>
      <c r="F56" s="3" t="s">
        <v>18</v>
      </c>
      <c r="H56" s="3">
        <v>473</v>
      </c>
      <c r="J56" s="3">
        <v>100</v>
      </c>
      <c r="K56" s="3">
        <v>100</v>
      </c>
      <c r="L56" s="3">
        <v>96</v>
      </c>
      <c r="M56" s="3">
        <v>100</v>
      </c>
      <c r="N56" s="3">
        <v>77</v>
      </c>
      <c r="O56" s="3">
        <v>0</v>
      </c>
      <c r="P56" s="3">
        <f t="shared" si="1"/>
        <v>93.55</v>
      </c>
      <c r="Q56" s="3" t="s">
        <v>93</v>
      </c>
    </row>
    <row r="57" spans="1:17" s="3" customFormat="1" x14ac:dyDescent="0.25">
      <c r="A57" s="3" t="s">
        <v>130</v>
      </c>
      <c r="B57" s="3" t="s">
        <v>131</v>
      </c>
      <c r="C57" s="3">
        <v>123090657</v>
      </c>
      <c r="E57" s="14">
        <v>46014.654108796298</v>
      </c>
      <c r="F57" s="3" t="s">
        <v>18</v>
      </c>
      <c r="H57" s="3">
        <v>484</v>
      </c>
      <c r="J57" s="3">
        <v>100</v>
      </c>
      <c r="K57" s="3">
        <v>100</v>
      </c>
      <c r="L57" s="3">
        <v>100</v>
      </c>
      <c r="M57" s="3">
        <v>110</v>
      </c>
      <c r="N57" s="3">
        <v>74</v>
      </c>
      <c r="O57" s="3">
        <v>0</v>
      </c>
      <c r="P57" s="3">
        <f t="shared" si="1"/>
        <v>93.5</v>
      </c>
      <c r="Q57" s="3" t="s">
        <v>93</v>
      </c>
    </row>
    <row r="58" spans="1:17" s="3" customFormat="1" x14ac:dyDescent="0.25">
      <c r="A58" s="3" t="s">
        <v>132</v>
      </c>
      <c r="B58" s="3" t="s">
        <v>133</v>
      </c>
      <c r="C58" s="3">
        <v>123090668</v>
      </c>
      <c r="E58" s="14">
        <v>46014.631064814799</v>
      </c>
      <c r="F58" s="3" t="s">
        <v>18</v>
      </c>
      <c r="H58" s="3">
        <v>474</v>
      </c>
      <c r="J58" s="3">
        <v>90</v>
      </c>
      <c r="K58" s="3">
        <v>100</v>
      </c>
      <c r="L58" s="3">
        <v>100</v>
      </c>
      <c r="M58" s="3">
        <v>110</v>
      </c>
      <c r="N58" s="3">
        <v>74</v>
      </c>
      <c r="O58" s="3">
        <v>0</v>
      </c>
      <c r="P58" s="3">
        <f t="shared" si="1"/>
        <v>93.5</v>
      </c>
      <c r="Q58" s="3" t="s">
        <v>93</v>
      </c>
    </row>
    <row r="59" spans="1:17" s="3" customFormat="1" x14ac:dyDescent="0.25">
      <c r="A59" s="3" t="s">
        <v>134</v>
      </c>
      <c r="B59" s="3" t="s">
        <v>135</v>
      </c>
      <c r="C59" s="3">
        <v>122090764</v>
      </c>
      <c r="D59" s="3" t="s">
        <v>24</v>
      </c>
      <c r="E59" s="14">
        <v>46014.644386574102</v>
      </c>
      <c r="F59" s="3" t="s">
        <v>18</v>
      </c>
      <c r="H59" s="3">
        <v>465</v>
      </c>
      <c r="J59" s="3">
        <v>74</v>
      </c>
      <c r="K59" s="3">
        <v>95</v>
      </c>
      <c r="L59" s="3">
        <v>91</v>
      </c>
      <c r="M59" s="3">
        <v>110</v>
      </c>
      <c r="N59" s="3">
        <v>95</v>
      </c>
      <c r="O59" s="3">
        <v>0</v>
      </c>
      <c r="P59" s="3">
        <f t="shared" si="1"/>
        <v>93.5</v>
      </c>
      <c r="Q59" s="3" t="s">
        <v>93</v>
      </c>
    </row>
    <row r="60" spans="1:17" s="3" customFormat="1" x14ac:dyDescent="0.25">
      <c r="A60" s="3" t="s">
        <v>136</v>
      </c>
      <c r="B60" s="3" t="s">
        <v>137</v>
      </c>
      <c r="C60" s="3">
        <v>123090032</v>
      </c>
      <c r="E60" s="14">
        <v>46013.628981481503</v>
      </c>
      <c r="F60" s="3" t="s">
        <v>18</v>
      </c>
      <c r="H60" s="3">
        <v>486</v>
      </c>
      <c r="J60" s="3">
        <v>110</v>
      </c>
      <c r="K60" s="3">
        <v>100</v>
      </c>
      <c r="L60" s="3">
        <v>93</v>
      </c>
      <c r="M60" s="3">
        <v>110</v>
      </c>
      <c r="N60" s="3">
        <v>73</v>
      </c>
      <c r="O60" s="3">
        <v>0</v>
      </c>
      <c r="P60" s="3">
        <f t="shared" si="1"/>
        <v>93.25</v>
      </c>
      <c r="Q60" s="3" t="s">
        <v>93</v>
      </c>
    </row>
    <row r="61" spans="1:17" s="3" customFormat="1" x14ac:dyDescent="0.25">
      <c r="A61" s="3" t="s">
        <v>138</v>
      </c>
      <c r="B61" s="3" t="s">
        <v>139</v>
      </c>
      <c r="C61" s="3">
        <v>123090523</v>
      </c>
      <c r="E61" s="14">
        <v>46014.675636574102</v>
      </c>
      <c r="F61" s="3" t="s">
        <v>18</v>
      </c>
      <c r="H61" s="3">
        <v>478</v>
      </c>
      <c r="J61" s="3">
        <v>100</v>
      </c>
      <c r="K61" s="3">
        <v>95</v>
      </c>
      <c r="L61" s="3">
        <v>100</v>
      </c>
      <c r="M61" s="3">
        <v>110</v>
      </c>
      <c r="N61" s="3">
        <v>73</v>
      </c>
      <c r="O61" s="3">
        <v>0</v>
      </c>
      <c r="P61" s="3">
        <f t="shared" si="1"/>
        <v>93.25</v>
      </c>
      <c r="Q61" s="3" t="s">
        <v>93</v>
      </c>
    </row>
    <row r="62" spans="1:17" s="3" customFormat="1" x14ac:dyDescent="0.25">
      <c r="A62" s="3" t="s">
        <v>140</v>
      </c>
      <c r="B62" s="3" t="s">
        <v>141</v>
      </c>
      <c r="C62" s="3">
        <v>122090569</v>
      </c>
      <c r="D62" s="3" t="s">
        <v>24</v>
      </c>
      <c r="E62" s="14">
        <v>46014.618564814802</v>
      </c>
      <c r="F62" s="3" t="s">
        <v>18</v>
      </c>
      <c r="H62" s="3">
        <v>470</v>
      </c>
      <c r="J62" s="3">
        <v>100</v>
      </c>
      <c r="K62" s="3">
        <v>90</v>
      </c>
      <c r="L62" s="3">
        <v>100</v>
      </c>
      <c r="M62" s="3">
        <v>100</v>
      </c>
      <c r="N62" s="3">
        <v>80</v>
      </c>
      <c r="O62" s="3">
        <v>0</v>
      </c>
      <c r="P62" s="3">
        <f t="shared" si="1"/>
        <v>93.25</v>
      </c>
      <c r="Q62" s="3" t="s">
        <v>93</v>
      </c>
    </row>
    <row r="63" spans="1:17" s="3" customFormat="1" x14ac:dyDescent="0.25">
      <c r="A63" s="3" t="s">
        <v>142</v>
      </c>
      <c r="B63" s="3" t="s">
        <v>119</v>
      </c>
      <c r="C63" s="3">
        <v>123040025</v>
      </c>
      <c r="E63" s="14">
        <v>46013.858842592599</v>
      </c>
      <c r="F63" s="3" t="s">
        <v>18</v>
      </c>
      <c r="H63" s="3">
        <v>468</v>
      </c>
      <c r="J63" s="3">
        <v>85</v>
      </c>
      <c r="K63" s="3">
        <v>100</v>
      </c>
      <c r="L63" s="3">
        <v>91</v>
      </c>
      <c r="M63" s="3">
        <v>110</v>
      </c>
      <c r="N63" s="3">
        <v>82</v>
      </c>
      <c r="O63" s="3">
        <v>0</v>
      </c>
      <c r="P63" s="3">
        <f t="shared" si="1"/>
        <v>93.05</v>
      </c>
      <c r="Q63" s="3" t="s">
        <v>93</v>
      </c>
    </row>
    <row r="64" spans="1:17" s="3" customFormat="1" x14ac:dyDescent="0.25">
      <c r="A64" s="3" t="s">
        <v>143</v>
      </c>
      <c r="B64" s="3" t="s">
        <v>144</v>
      </c>
      <c r="C64" s="3">
        <v>122090324</v>
      </c>
      <c r="E64" s="14">
        <v>45999.005613425899</v>
      </c>
      <c r="F64" s="3" t="s">
        <v>18</v>
      </c>
      <c r="H64" s="3">
        <v>471</v>
      </c>
      <c r="J64" s="3">
        <v>100</v>
      </c>
      <c r="K64" s="3">
        <v>90</v>
      </c>
      <c r="L64" s="3">
        <v>96</v>
      </c>
      <c r="M64" s="3">
        <v>110</v>
      </c>
      <c r="N64" s="3">
        <v>75</v>
      </c>
      <c r="O64" s="3">
        <v>0</v>
      </c>
      <c r="P64" s="3">
        <f t="shared" si="1"/>
        <v>93.05</v>
      </c>
      <c r="Q64" s="3" t="s">
        <v>93</v>
      </c>
    </row>
    <row r="65" spans="1:17" s="3" customFormat="1" x14ac:dyDescent="0.25">
      <c r="A65" s="3" t="s">
        <v>145</v>
      </c>
      <c r="B65" s="3" t="s">
        <v>146</v>
      </c>
      <c r="C65" s="3">
        <v>123090119</v>
      </c>
      <c r="E65" s="14">
        <v>46003.129328703697</v>
      </c>
      <c r="F65" s="3" t="s">
        <v>18</v>
      </c>
      <c r="H65" s="3">
        <v>469</v>
      </c>
      <c r="J65" s="3">
        <v>90</v>
      </c>
      <c r="K65" s="3">
        <v>100</v>
      </c>
      <c r="L65" s="3">
        <v>91</v>
      </c>
      <c r="M65" s="3">
        <v>110</v>
      </c>
      <c r="N65" s="3">
        <v>78</v>
      </c>
      <c r="O65" s="3">
        <v>0</v>
      </c>
      <c r="P65" s="3">
        <f t="shared" si="1"/>
        <v>92.924999999999997</v>
      </c>
      <c r="Q65" s="3" t="s">
        <v>93</v>
      </c>
    </row>
    <row r="66" spans="1:17" s="3" customFormat="1" x14ac:dyDescent="0.25">
      <c r="A66" s="3" t="s">
        <v>147</v>
      </c>
      <c r="B66" s="3" t="s">
        <v>148</v>
      </c>
      <c r="C66" s="3">
        <v>123090142</v>
      </c>
      <c r="E66" s="14">
        <v>46014.676898148202</v>
      </c>
      <c r="F66" s="3" t="s">
        <v>18</v>
      </c>
      <c r="H66" s="3">
        <v>476</v>
      </c>
      <c r="J66" s="3">
        <v>95</v>
      </c>
      <c r="K66" s="3">
        <v>100</v>
      </c>
      <c r="L66" s="3">
        <v>100</v>
      </c>
      <c r="M66" s="3">
        <v>110</v>
      </c>
      <c r="N66" s="3">
        <v>71</v>
      </c>
      <c r="O66" s="3">
        <v>0</v>
      </c>
      <c r="P66" s="3">
        <f t="shared" ref="P66:P97" si="2">MIN(SUM(J66:M66),400)/4*0.7+I66+N66*0.25+5+O66</f>
        <v>92.75</v>
      </c>
      <c r="Q66" s="3" t="s">
        <v>93</v>
      </c>
    </row>
    <row r="67" spans="1:17" s="3" customFormat="1" x14ac:dyDescent="0.25">
      <c r="A67" s="3" t="s">
        <v>149</v>
      </c>
      <c r="B67" s="3" t="s">
        <v>150</v>
      </c>
      <c r="C67" s="3">
        <v>122090872</v>
      </c>
      <c r="D67" s="3" t="s">
        <v>24</v>
      </c>
      <c r="E67" s="14">
        <v>46013.633148148103</v>
      </c>
      <c r="F67" s="3" t="s">
        <v>18</v>
      </c>
      <c r="H67" s="3">
        <v>468</v>
      </c>
      <c r="J67" s="3">
        <v>100</v>
      </c>
      <c r="K67" s="3">
        <v>100</v>
      </c>
      <c r="L67" s="3">
        <v>91</v>
      </c>
      <c r="M67" s="3">
        <v>100</v>
      </c>
      <c r="N67" s="3">
        <v>77</v>
      </c>
      <c r="O67" s="3">
        <v>0</v>
      </c>
      <c r="P67" s="3">
        <f t="shared" si="2"/>
        <v>92.674999999999997</v>
      </c>
      <c r="Q67" s="3" t="s">
        <v>93</v>
      </c>
    </row>
    <row r="68" spans="1:17" s="3" customFormat="1" x14ac:dyDescent="0.25">
      <c r="A68" s="3" t="s">
        <v>151</v>
      </c>
      <c r="B68" s="3" t="s">
        <v>152</v>
      </c>
      <c r="C68" s="3">
        <v>123090274</v>
      </c>
      <c r="E68" s="14">
        <v>46014.638009259303</v>
      </c>
      <c r="F68" s="3" t="s">
        <v>18</v>
      </c>
      <c r="H68" s="3">
        <v>466</v>
      </c>
      <c r="J68" s="3">
        <v>95</v>
      </c>
      <c r="K68" s="3">
        <v>100</v>
      </c>
      <c r="L68" s="3">
        <v>90</v>
      </c>
      <c r="M68" s="3">
        <v>100</v>
      </c>
      <c r="N68" s="3">
        <v>81</v>
      </c>
      <c r="O68" s="3">
        <v>0</v>
      </c>
      <c r="P68" s="3">
        <f t="shared" si="2"/>
        <v>92.625</v>
      </c>
      <c r="Q68" s="3" t="s">
        <v>93</v>
      </c>
    </row>
    <row r="69" spans="1:17" s="3" customFormat="1" x14ac:dyDescent="0.25">
      <c r="A69" s="3" t="s">
        <v>153</v>
      </c>
      <c r="B69" s="3" t="s">
        <v>154</v>
      </c>
      <c r="C69" s="3">
        <v>122090433</v>
      </c>
      <c r="D69" s="3" t="s">
        <v>24</v>
      </c>
      <c r="E69" s="14">
        <v>46014.006018518499</v>
      </c>
      <c r="F69" s="3" t="s">
        <v>18</v>
      </c>
      <c r="H69" s="3">
        <v>486</v>
      </c>
      <c r="J69" s="3">
        <v>110</v>
      </c>
      <c r="K69" s="3">
        <v>100</v>
      </c>
      <c r="L69" s="3">
        <v>96</v>
      </c>
      <c r="M69" s="3">
        <v>110</v>
      </c>
      <c r="N69" s="3">
        <v>70</v>
      </c>
      <c r="O69" s="3">
        <v>0</v>
      </c>
      <c r="P69" s="3">
        <f t="shared" si="2"/>
        <v>92.5</v>
      </c>
      <c r="Q69" s="3" t="s">
        <v>93</v>
      </c>
    </row>
    <row r="70" spans="1:17" s="4" customFormat="1" x14ac:dyDescent="0.25">
      <c r="A70" s="4" t="s">
        <v>155</v>
      </c>
      <c r="B70" s="4" t="s">
        <v>156</v>
      </c>
      <c r="C70" s="4">
        <v>123090825</v>
      </c>
      <c r="E70" s="15">
        <v>46014.629108796304</v>
      </c>
      <c r="F70" s="4" t="s">
        <v>18</v>
      </c>
      <c r="H70" s="4">
        <v>480</v>
      </c>
      <c r="J70" s="4">
        <v>110</v>
      </c>
      <c r="K70" s="4">
        <v>100</v>
      </c>
      <c r="L70" s="4">
        <v>100</v>
      </c>
      <c r="M70" s="4">
        <v>100</v>
      </c>
      <c r="N70" s="4">
        <v>70</v>
      </c>
      <c r="O70" s="4">
        <v>0</v>
      </c>
      <c r="P70" s="4">
        <f t="shared" si="2"/>
        <v>92.5</v>
      </c>
      <c r="Q70" s="3" t="s">
        <v>93</v>
      </c>
    </row>
    <row r="71" spans="1:17" s="4" customFormat="1" x14ac:dyDescent="0.25">
      <c r="A71" s="4" t="s">
        <v>157</v>
      </c>
      <c r="B71" s="4" t="s">
        <v>158</v>
      </c>
      <c r="C71" s="4">
        <v>123090742</v>
      </c>
      <c r="E71" s="15">
        <v>45998.678622685198</v>
      </c>
      <c r="F71" s="4" t="s">
        <v>18</v>
      </c>
      <c r="H71" s="4">
        <v>471</v>
      </c>
      <c r="J71" s="4">
        <v>95</v>
      </c>
      <c r="K71" s="4">
        <v>100</v>
      </c>
      <c r="L71" s="4">
        <v>96</v>
      </c>
      <c r="M71" s="4">
        <v>110</v>
      </c>
      <c r="N71" s="4">
        <v>70</v>
      </c>
      <c r="O71" s="4">
        <v>0</v>
      </c>
      <c r="P71" s="4">
        <f t="shared" si="2"/>
        <v>92.5</v>
      </c>
      <c r="Q71" s="3" t="s">
        <v>93</v>
      </c>
    </row>
    <row r="72" spans="1:17" s="4" customFormat="1" x14ac:dyDescent="0.25">
      <c r="A72" s="4" t="s">
        <v>159</v>
      </c>
      <c r="B72" s="4" t="s">
        <v>160</v>
      </c>
      <c r="C72" s="4">
        <v>123090102</v>
      </c>
      <c r="E72" s="15">
        <v>46013.4630092593</v>
      </c>
      <c r="F72" s="4" t="s">
        <v>18</v>
      </c>
      <c r="H72" s="4">
        <v>471</v>
      </c>
      <c r="J72" s="4">
        <v>100</v>
      </c>
      <c r="K72" s="4">
        <v>100</v>
      </c>
      <c r="L72" s="4">
        <v>93</v>
      </c>
      <c r="M72" s="4">
        <v>110</v>
      </c>
      <c r="N72" s="4">
        <v>68</v>
      </c>
      <c r="O72" s="4">
        <v>0</v>
      </c>
      <c r="P72" s="4">
        <f t="shared" si="2"/>
        <v>92</v>
      </c>
      <c r="Q72" s="3" t="s">
        <v>93</v>
      </c>
    </row>
    <row r="73" spans="1:17" s="4" customFormat="1" x14ac:dyDescent="0.25">
      <c r="A73" s="4" t="s">
        <v>161</v>
      </c>
      <c r="B73" s="4" t="s">
        <v>162</v>
      </c>
      <c r="C73" s="4">
        <v>123090623</v>
      </c>
      <c r="E73" s="15">
        <v>45997.746550925898</v>
      </c>
      <c r="F73" s="4" t="s">
        <v>18</v>
      </c>
      <c r="H73" s="4">
        <v>471</v>
      </c>
      <c r="J73" s="4">
        <v>105</v>
      </c>
      <c r="K73" s="4">
        <v>100</v>
      </c>
      <c r="L73" s="4">
        <v>89</v>
      </c>
      <c r="M73" s="4">
        <v>110</v>
      </c>
      <c r="N73" s="4">
        <v>67</v>
      </c>
      <c r="O73" s="4">
        <v>0</v>
      </c>
      <c r="P73" s="4">
        <f t="shared" si="2"/>
        <v>91.75</v>
      </c>
      <c r="Q73" s="3" t="s">
        <v>93</v>
      </c>
    </row>
    <row r="74" spans="1:17" s="5" customFormat="1" x14ac:dyDescent="0.25">
      <c r="A74" s="5" t="s">
        <v>163</v>
      </c>
      <c r="B74" s="5" t="s">
        <v>164</v>
      </c>
      <c r="C74" s="5">
        <v>122090177</v>
      </c>
      <c r="D74" s="5" t="s">
        <v>24</v>
      </c>
      <c r="E74" s="16">
        <v>46008.466215277796</v>
      </c>
      <c r="F74" s="5" t="s">
        <v>18</v>
      </c>
      <c r="H74" s="5">
        <v>464</v>
      </c>
      <c r="J74" s="5">
        <v>90</v>
      </c>
      <c r="K74" s="5">
        <v>95</v>
      </c>
      <c r="L74" s="5">
        <v>100</v>
      </c>
      <c r="M74" s="5">
        <v>110</v>
      </c>
      <c r="N74" s="5">
        <v>69</v>
      </c>
      <c r="O74" s="5">
        <v>0</v>
      </c>
      <c r="P74" s="5">
        <f t="shared" si="2"/>
        <v>91.375</v>
      </c>
      <c r="Q74" s="6" t="s">
        <v>165</v>
      </c>
    </row>
    <row r="75" spans="1:17" s="5" customFormat="1" x14ac:dyDescent="0.25">
      <c r="A75" s="5" t="s">
        <v>166</v>
      </c>
      <c r="B75" s="5" t="s">
        <v>167</v>
      </c>
      <c r="C75" s="5">
        <v>122090010</v>
      </c>
      <c r="D75" s="5" t="s">
        <v>24</v>
      </c>
      <c r="E75" s="16">
        <v>46013.624814814801</v>
      </c>
      <c r="F75" s="5" t="s">
        <v>18</v>
      </c>
      <c r="H75" s="5">
        <v>469</v>
      </c>
      <c r="J75" s="5">
        <v>109</v>
      </c>
      <c r="K75" s="5">
        <v>100</v>
      </c>
      <c r="L75" s="5">
        <v>98</v>
      </c>
      <c r="M75" s="5">
        <v>100</v>
      </c>
      <c r="N75" s="5">
        <v>62</v>
      </c>
      <c r="O75" s="5">
        <v>0</v>
      </c>
      <c r="P75" s="5">
        <f t="shared" si="2"/>
        <v>90.5</v>
      </c>
      <c r="Q75" s="6" t="s">
        <v>165</v>
      </c>
    </row>
    <row r="76" spans="1:17" s="5" customFormat="1" x14ac:dyDescent="0.25">
      <c r="A76" s="5" t="s">
        <v>168</v>
      </c>
      <c r="B76" s="5" t="s">
        <v>169</v>
      </c>
      <c r="C76" s="5">
        <v>123090563</v>
      </c>
      <c r="E76" s="16">
        <v>46014.636747685203</v>
      </c>
      <c r="F76" s="5" t="s">
        <v>18</v>
      </c>
      <c r="H76" s="5">
        <v>481</v>
      </c>
      <c r="J76" s="5">
        <v>110</v>
      </c>
      <c r="K76" s="5">
        <v>100</v>
      </c>
      <c r="L76" s="5">
        <v>100</v>
      </c>
      <c r="M76" s="5">
        <v>110</v>
      </c>
      <c r="N76" s="5">
        <v>61</v>
      </c>
      <c r="O76" s="5">
        <v>0</v>
      </c>
      <c r="P76" s="5">
        <f t="shared" si="2"/>
        <v>90.25</v>
      </c>
      <c r="Q76" s="6" t="s">
        <v>165</v>
      </c>
    </row>
    <row r="77" spans="1:17" s="5" customFormat="1" x14ac:dyDescent="0.25">
      <c r="A77" s="5" t="s">
        <v>170</v>
      </c>
      <c r="B77" s="5" t="s">
        <v>171</v>
      </c>
      <c r="C77" s="5">
        <v>123090704</v>
      </c>
      <c r="E77" s="16">
        <v>45998.471574074101</v>
      </c>
      <c r="F77" s="5" t="s">
        <v>18</v>
      </c>
      <c r="H77" s="5">
        <v>489</v>
      </c>
      <c r="J77" s="5">
        <v>100</v>
      </c>
      <c r="K77" s="5">
        <v>98</v>
      </c>
      <c r="L77" s="5">
        <v>100</v>
      </c>
      <c r="M77" s="5">
        <v>110</v>
      </c>
      <c r="N77" s="5">
        <v>81</v>
      </c>
      <c r="O77" s="5">
        <v>-5</v>
      </c>
      <c r="P77" s="5">
        <f t="shared" si="2"/>
        <v>90.25</v>
      </c>
      <c r="Q77" s="6" t="s">
        <v>165</v>
      </c>
    </row>
    <row r="78" spans="1:17" s="5" customFormat="1" x14ac:dyDescent="0.25">
      <c r="A78" s="5" t="s">
        <v>172</v>
      </c>
      <c r="B78" s="5" t="s">
        <v>173</v>
      </c>
      <c r="C78" s="5">
        <v>123030030</v>
      </c>
      <c r="E78" s="16">
        <v>46013.659490740698</v>
      </c>
      <c r="F78" s="5" t="s">
        <v>18</v>
      </c>
      <c r="H78" s="5">
        <v>465.5</v>
      </c>
      <c r="I78" s="5">
        <v>0.5</v>
      </c>
      <c r="J78" s="5">
        <v>100</v>
      </c>
      <c r="K78" s="5">
        <v>100</v>
      </c>
      <c r="L78" s="5">
        <v>96</v>
      </c>
      <c r="M78" s="5">
        <v>110</v>
      </c>
      <c r="N78" s="5">
        <v>59</v>
      </c>
      <c r="O78" s="5">
        <v>0</v>
      </c>
      <c r="P78" s="5">
        <f t="shared" si="2"/>
        <v>90.25</v>
      </c>
      <c r="Q78" s="6" t="s">
        <v>165</v>
      </c>
    </row>
    <row r="79" spans="1:17" s="5" customFormat="1" x14ac:dyDescent="0.25">
      <c r="A79" s="5" t="s">
        <v>174</v>
      </c>
      <c r="B79" s="5" t="s">
        <v>175</v>
      </c>
      <c r="C79" s="5">
        <v>123090054</v>
      </c>
      <c r="E79" s="16">
        <v>46004.696608796301</v>
      </c>
      <c r="F79" s="5" t="s">
        <v>18</v>
      </c>
      <c r="H79" s="5">
        <v>466</v>
      </c>
      <c r="J79" s="5">
        <v>100</v>
      </c>
      <c r="K79" s="5">
        <v>100</v>
      </c>
      <c r="L79" s="5">
        <v>95</v>
      </c>
      <c r="M79" s="5">
        <v>110</v>
      </c>
      <c r="N79" s="5">
        <v>61</v>
      </c>
      <c r="O79" s="5">
        <v>0</v>
      </c>
      <c r="P79" s="5">
        <f t="shared" si="2"/>
        <v>90.25</v>
      </c>
      <c r="Q79" s="6" t="s">
        <v>165</v>
      </c>
    </row>
    <row r="80" spans="1:17" s="5" customFormat="1" x14ac:dyDescent="0.25">
      <c r="A80" s="5" t="s">
        <v>176</v>
      </c>
      <c r="B80" s="5" t="s">
        <v>177</v>
      </c>
      <c r="C80" s="5">
        <v>122090584</v>
      </c>
      <c r="D80" s="5" t="s">
        <v>24</v>
      </c>
      <c r="E80" s="16">
        <v>45992.612187500003</v>
      </c>
      <c r="F80" s="5" t="s">
        <v>18</v>
      </c>
      <c r="H80" s="5">
        <v>457</v>
      </c>
      <c r="J80" s="5">
        <v>95</v>
      </c>
      <c r="K80" s="5">
        <v>90</v>
      </c>
      <c r="L80" s="5">
        <v>94</v>
      </c>
      <c r="M80" s="5">
        <v>110</v>
      </c>
      <c r="N80" s="5">
        <v>68</v>
      </c>
      <c r="O80" s="5">
        <v>0</v>
      </c>
      <c r="P80" s="5">
        <f t="shared" si="2"/>
        <v>90.075000000000003</v>
      </c>
      <c r="Q80" s="6" t="s">
        <v>165</v>
      </c>
    </row>
    <row r="81" spans="1:17" s="5" customFormat="1" x14ac:dyDescent="0.25">
      <c r="A81" s="5" t="s">
        <v>178</v>
      </c>
      <c r="B81" s="5" t="s">
        <v>179</v>
      </c>
      <c r="C81" s="5">
        <v>123090120</v>
      </c>
      <c r="E81" s="16">
        <v>46012.048298611102</v>
      </c>
      <c r="F81" s="5" t="s">
        <v>18</v>
      </c>
      <c r="H81" s="5">
        <v>480</v>
      </c>
      <c r="J81" s="5">
        <v>110</v>
      </c>
      <c r="K81" s="5">
        <v>100</v>
      </c>
      <c r="L81" s="5">
        <v>100</v>
      </c>
      <c r="M81" s="5">
        <v>110</v>
      </c>
      <c r="N81" s="5">
        <v>60</v>
      </c>
      <c r="O81" s="5">
        <v>0</v>
      </c>
      <c r="P81" s="5">
        <f t="shared" si="2"/>
        <v>90</v>
      </c>
      <c r="Q81" s="6" t="s">
        <v>165</v>
      </c>
    </row>
    <row r="82" spans="1:17" s="5" customFormat="1" x14ac:dyDescent="0.25">
      <c r="A82" s="5" t="s">
        <v>180</v>
      </c>
      <c r="B82" s="5" t="s">
        <v>181</v>
      </c>
      <c r="C82" s="5">
        <v>123090404</v>
      </c>
      <c r="E82" s="16">
        <v>46014.673425925903</v>
      </c>
      <c r="F82" s="5" t="s">
        <v>18</v>
      </c>
      <c r="H82" s="5">
        <v>488</v>
      </c>
      <c r="J82" s="5">
        <v>100</v>
      </c>
      <c r="K82" s="5">
        <v>100</v>
      </c>
      <c r="L82" s="5">
        <v>100</v>
      </c>
      <c r="M82" s="5">
        <v>110</v>
      </c>
      <c r="N82" s="5">
        <v>78</v>
      </c>
      <c r="O82" s="5">
        <v>-5</v>
      </c>
      <c r="P82" s="5">
        <f t="shared" si="2"/>
        <v>89.5</v>
      </c>
      <c r="Q82" s="6" t="s">
        <v>165</v>
      </c>
    </row>
    <row r="83" spans="1:17" s="5" customFormat="1" x14ac:dyDescent="0.25">
      <c r="A83" s="5" t="s">
        <v>182</v>
      </c>
      <c r="B83" s="5" t="s">
        <v>183</v>
      </c>
      <c r="C83" s="5">
        <v>123090247</v>
      </c>
      <c r="E83" s="16">
        <v>46014.686620370398</v>
      </c>
      <c r="F83" s="5" t="s">
        <v>18</v>
      </c>
      <c r="H83" s="5">
        <v>453</v>
      </c>
      <c r="J83" s="5">
        <v>105</v>
      </c>
      <c r="K83" s="5">
        <v>85</v>
      </c>
      <c r="L83" s="5">
        <v>85</v>
      </c>
      <c r="M83" s="5">
        <v>110</v>
      </c>
      <c r="N83" s="5">
        <v>68</v>
      </c>
      <c r="O83" s="5">
        <v>0</v>
      </c>
      <c r="P83" s="5">
        <f t="shared" si="2"/>
        <v>89.375</v>
      </c>
      <c r="Q83" s="6" t="s">
        <v>165</v>
      </c>
    </row>
    <row r="84" spans="1:17" s="5" customFormat="1" x14ac:dyDescent="0.25">
      <c r="A84" s="5" t="s">
        <v>184</v>
      </c>
      <c r="B84" s="5" t="s">
        <v>185</v>
      </c>
      <c r="C84" s="5">
        <v>123090922</v>
      </c>
      <c r="E84" s="16">
        <v>46006.659884259301</v>
      </c>
      <c r="F84" s="5" t="s">
        <v>18</v>
      </c>
      <c r="H84" s="5">
        <v>454</v>
      </c>
      <c r="J84" s="5">
        <v>85</v>
      </c>
      <c r="K84" s="5">
        <v>100</v>
      </c>
      <c r="L84" s="5">
        <v>96</v>
      </c>
      <c r="M84" s="5">
        <v>110</v>
      </c>
      <c r="N84" s="5">
        <v>63</v>
      </c>
      <c r="O84" s="5">
        <v>0</v>
      </c>
      <c r="P84" s="5">
        <f t="shared" si="2"/>
        <v>89.174999999999997</v>
      </c>
      <c r="Q84" s="6" t="s">
        <v>165</v>
      </c>
    </row>
    <row r="85" spans="1:17" s="5" customFormat="1" x14ac:dyDescent="0.25">
      <c r="A85" s="5" t="s">
        <v>186</v>
      </c>
      <c r="B85" s="5" t="s">
        <v>187</v>
      </c>
      <c r="C85" s="5">
        <v>123090430</v>
      </c>
      <c r="E85" s="16">
        <v>46014.658842592602</v>
      </c>
      <c r="F85" s="5" t="s">
        <v>18</v>
      </c>
      <c r="H85" s="5">
        <v>455</v>
      </c>
      <c r="J85" s="5">
        <v>100</v>
      </c>
      <c r="K85" s="5">
        <v>95</v>
      </c>
      <c r="L85" s="5">
        <v>91</v>
      </c>
      <c r="M85" s="5">
        <v>110</v>
      </c>
      <c r="N85" s="5">
        <v>59</v>
      </c>
      <c r="O85" s="5">
        <v>0</v>
      </c>
      <c r="P85" s="5">
        <f t="shared" si="2"/>
        <v>89.05</v>
      </c>
      <c r="Q85" s="6" t="s">
        <v>165</v>
      </c>
    </row>
    <row r="86" spans="1:17" s="5" customFormat="1" x14ac:dyDescent="0.25">
      <c r="A86" s="5" t="s">
        <v>188</v>
      </c>
      <c r="B86" s="5" t="s">
        <v>189</v>
      </c>
      <c r="C86" s="5">
        <v>123090180</v>
      </c>
      <c r="E86" s="16">
        <v>45997.486828703702</v>
      </c>
      <c r="F86" s="5" t="s">
        <v>18</v>
      </c>
      <c r="H86" s="5">
        <v>459</v>
      </c>
      <c r="J86" s="5">
        <v>99</v>
      </c>
      <c r="K86" s="5">
        <v>100</v>
      </c>
      <c r="L86" s="5">
        <v>94</v>
      </c>
      <c r="M86" s="5">
        <v>110</v>
      </c>
      <c r="N86" s="5">
        <v>56</v>
      </c>
      <c r="O86" s="5">
        <v>0</v>
      </c>
      <c r="P86" s="5">
        <f t="shared" si="2"/>
        <v>89</v>
      </c>
      <c r="Q86" s="6" t="s">
        <v>165</v>
      </c>
    </row>
    <row r="87" spans="1:17" s="5" customFormat="1" x14ac:dyDescent="0.25">
      <c r="A87" s="5" t="s">
        <v>190</v>
      </c>
      <c r="B87" s="5" t="s">
        <v>191</v>
      </c>
      <c r="C87" s="5">
        <v>123090241</v>
      </c>
      <c r="E87" s="16">
        <v>45998.473229166702</v>
      </c>
      <c r="F87" s="5" t="s">
        <v>18</v>
      </c>
      <c r="H87" s="5">
        <v>439.5</v>
      </c>
      <c r="I87" s="5">
        <v>0.5</v>
      </c>
      <c r="J87" s="5">
        <v>30</v>
      </c>
      <c r="K87" s="5">
        <v>95</v>
      </c>
      <c r="L87" s="5">
        <v>115</v>
      </c>
      <c r="M87" s="5">
        <v>110</v>
      </c>
      <c r="N87" s="5">
        <v>89</v>
      </c>
      <c r="O87" s="5">
        <v>0</v>
      </c>
      <c r="P87" s="5">
        <f t="shared" si="2"/>
        <v>89</v>
      </c>
      <c r="Q87" s="6" t="s">
        <v>165</v>
      </c>
    </row>
    <row r="88" spans="1:17" s="5" customFormat="1" x14ac:dyDescent="0.25">
      <c r="A88" s="5" t="s">
        <v>192</v>
      </c>
      <c r="B88" s="5" t="s">
        <v>193</v>
      </c>
      <c r="C88" s="5">
        <v>123090447</v>
      </c>
      <c r="E88" s="16">
        <v>46008.583912037</v>
      </c>
      <c r="F88" s="5" t="s">
        <v>18</v>
      </c>
      <c r="H88" s="5">
        <v>447</v>
      </c>
      <c r="J88" s="5">
        <v>88</v>
      </c>
      <c r="K88" s="5">
        <v>95</v>
      </c>
      <c r="L88" s="5">
        <v>91</v>
      </c>
      <c r="M88" s="5">
        <v>100</v>
      </c>
      <c r="N88" s="5">
        <v>73</v>
      </c>
      <c r="O88" s="5">
        <v>0</v>
      </c>
      <c r="P88" s="5">
        <f t="shared" si="2"/>
        <v>88.7</v>
      </c>
      <c r="Q88" s="6" t="s">
        <v>165</v>
      </c>
    </row>
    <row r="89" spans="1:17" s="5" customFormat="1" x14ac:dyDescent="0.25">
      <c r="A89" s="5" t="s">
        <v>194</v>
      </c>
      <c r="B89" s="5" t="s">
        <v>195</v>
      </c>
      <c r="C89" s="5">
        <v>123090166</v>
      </c>
      <c r="E89" s="16">
        <v>46009.7569560185</v>
      </c>
      <c r="F89" s="5" t="s">
        <v>18</v>
      </c>
      <c r="H89" s="5">
        <v>472</v>
      </c>
      <c r="J89" s="5">
        <v>90</v>
      </c>
      <c r="K89" s="5">
        <v>100</v>
      </c>
      <c r="L89" s="5">
        <v>93</v>
      </c>
      <c r="M89" s="5">
        <v>110</v>
      </c>
      <c r="N89" s="5">
        <v>79</v>
      </c>
      <c r="O89" s="5">
        <v>-5</v>
      </c>
      <c r="P89" s="5">
        <f t="shared" si="2"/>
        <v>88.525000000000006</v>
      </c>
      <c r="Q89" s="6" t="s">
        <v>165</v>
      </c>
    </row>
    <row r="90" spans="1:17" s="5" customFormat="1" x14ac:dyDescent="0.25">
      <c r="A90" s="5" t="s">
        <v>196</v>
      </c>
      <c r="B90" s="5" t="s">
        <v>119</v>
      </c>
      <c r="C90" s="5">
        <v>123040022</v>
      </c>
      <c r="E90" s="16">
        <v>45997.931516203702</v>
      </c>
      <c r="F90" s="5" t="s">
        <v>18</v>
      </c>
      <c r="H90" s="5">
        <v>474</v>
      </c>
      <c r="J90" s="5">
        <v>90</v>
      </c>
      <c r="K90" s="5">
        <v>100</v>
      </c>
      <c r="L90" s="5">
        <v>100</v>
      </c>
      <c r="M90" s="5">
        <v>110</v>
      </c>
      <c r="N90" s="5">
        <v>74</v>
      </c>
      <c r="O90" s="5">
        <v>-5</v>
      </c>
      <c r="P90" s="5">
        <f t="shared" si="2"/>
        <v>88.5</v>
      </c>
      <c r="Q90" s="6" t="s">
        <v>165</v>
      </c>
    </row>
    <row r="91" spans="1:17" s="5" customFormat="1" x14ac:dyDescent="0.25">
      <c r="A91" s="5" t="s">
        <v>197</v>
      </c>
      <c r="B91" s="5" t="s">
        <v>198</v>
      </c>
      <c r="C91" s="5">
        <v>122010030</v>
      </c>
      <c r="D91" s="5" t="s">
        <v>24</v>
      </c>
      <c r="E91" s="16">
        <v>46002.050601851799</v>
      </c>
      <c r="F91" s="5" t="s">
        <v>18</v>
      </c>
      <c r="H91" s="5">
        <v>471</v>
      </c>
      <c r="J91" s="5">
        <v>100</v>
      </c>
      <c r="K91" s="5">
        <v>100</v>
      </c>
      <c r="L91" s="5">
        <v>108</v>
      </c>
      <c r="M91" s="5">
        <v>110</v>
      </c>
      <c r="N91" s="5">
        <v>53</v>
      </c>
      <c r="O91" s="5">
        <v>0</v>
      </c>
      <c r="P91" s="5">
        <f t="shared" si="2"/>
        <v>88.25</v>
      </c>
      <c r="Q91" s="6" t="s">
        <v>165</v>
      </c>
    </row>
    <row r="92" spans="1:17" s="5" customFormat="1" x14ac:dyDescent="0.25">
      <c r="A92" s="5" t="s">
        <v>199</v>
      </c>
      <c r="B92" s="5" t="s">
        <v>119</v>
      </c>
      <c r="C92" s="5">
        <v>122040039</v>
      </c>
      <c r="E92" s="16">
        <v>46014.625509259298</v>
      </c>
      <c r="F92" s="5" t="s">
        <v>18</v>
      </c>
      <c r="H92" s="5">
        <v>488</v>
      </c>
      <c r="J92" s="5">
        <v>106</v>
      </c>
      <c r="K92" s="5">
        <v>100</v>
      </c>
      <c r="L92" s="5">
        <v>120</v>
      </c>
      <c r="M92" s="5">
        <v>110</v>
      </c>
      <c r="N92" s="5">
        <v>52</v>
      </c>
      <c r="O92" s="5">
        <v>0</v>
      </c>
      <c r="P92" s="5">
        <f t="shared" si="2"/>
        <v>88</v>
      </c>
      <c r="Q92" s="6" t="s">
        <v>165</v>
      </c>
    </row>
    <row r="93" spans="1:17" s="6" customFormat="1" x14ac:dyDescent="0.25">
      <c r="A93" s="6" t="s">
        <v>200</v>
      </c>
      <c r="B93" s="6" t="s">
        <v>119</v>
      </c>
      <c r="C93" s="6">
        <v>123040050</v>
      </c>
      <c r="E93" s="17">
        <v>45998.489664351902</v>
      </c>
      <c r="F93" s="6" t="s">
        <v>18</v>
      </c>
      <c r="H93" s="6">
        <v>443</v>
      </c>
      <c r="J93" s="6">
        <v>100</v>
      </c>
      <c r="K93" s="6">
        <v>90</v>
      </c>
      <c r="L93" s="6">
        <v>71</v>
      </c>
      <c r="M93" s="6">
        <v>110</v>
      </c>
      <c r="N93" s="6">
        <v>72</v>
      </c>
      <c r="O93" s="6">
        <v>0</v>
      </c>
      <c r="P93" s="6">
        <f t="shared" si="2"/>
        <v>87.924999999999997</v>
      </c>
      <c r="Q93" s="6" t="s">
        <v>165</v>
      </c>
    </row>
    <row r="94" spans="1:17" s="6" customFormat="1" x14ac:dyDescent="0.25">
      <c r="A94" s="6" t="s">
        <v>201</v>
      </c>
      <c r="B94" s="6" t="s">
        <v>202</v>
      </c>
      <c r="C94" s="6">
        <v>122040076</v>
      </c>
      <c r="D94" s="6" t="s">
        <v>24</v>
      </c>
      <c r="E94" s="17">
        <v>46012.077465277798</v>
      </c>
      <c r="F94" s="6" t="s">
        <v>18</v>
      </c>
      <c r="H94" s="6">
        <v>447</v>
      </c>
      <c r="J94" s="6">
        <v>90</v>
      </c>
      <c r="K94" s="6">
        <v>100</v>
      </c>
      <c r="L94" s="6">
        <v>91</v>
      </c>
      <c r="M94" s="6">
        <v>110</v>
      </c>
      <c r="N94" s="6">
        <v>56</v>
      </c>
      <c r="O94" s="6">
        <v>0</v>
      </c>
      <c r="P94" s="6">
        <f t="shared" si="2"/>
        <v>87.424999999999997</v>
      </c>
      <c r="Q94" s="6" t="s">
        <v>165</v>
      </c>
    </row>
    <row r="95" spans="1:17" s="6" customFormat="1" x14ac:dyDescent="0.25">
      <c r="A95" s="6" t="s">
        <v>203</v>
      </c>
      <c r="B95" s="6" t="s">
        <v>204</v>
      </c>
      <c r="C95" s="6">
        <v>122090050</v>
      </c>
      <c r="E95" s="17">
        <v>46012.720520833303</v>
      </c>
      <c r="F95" s="6" t="s">
        <v>18</v>
      </c>
      <c r="H95" s="6">
        <v>440</v>
      </c>
      <c r="J95" s="6">
        <v>88</v>
      </c>
      <c r="K95" s="6">
        <v>95</v>
      </c>
      <c r="L95" s="6">
        <v>76</v>
      </c>
      <c r="M95" s="6">
        <v>110</v>
      </c>
      <c r="N95" s="6">
        <v>71</v>
      </c>
      <c r="O95" s="6">
        <v>0</v>
      </c>
      <c r="P95" s="6">
        <f t="shared" si="2"/>
        <v>87.325000000000003</v>
      </c>
      <c r="Q95" s="6" t="s">
        <v>165</v>
      </c>
    </row>
    <row r="96" spans="1:17" s="6" customFormat="1" x14ac:dyDescent="0.25">
      <c r="A96" s="6" t="s">
        <v>205</v>
      </c>
      <c r="B96" s="6" t="s">
        <v>119</v>
      </c>
      <c r="C96" s="6">
        <v>123040009</v>
      </c>
      <c r="D96" s="6">
        <v>123040009</v>
      </c>
      <c r="E96" s="17">
        <v>46010.001678240696</v>
      </c>
      <c r="F96" s="6" t="s">
        <v>18</v>
      </c>
      <c r="H96" s="6">
        <v>459</v>
      </c>
      <c r="J96" s="6">
        <v>100</v>
      </c>
      <c r="K96" s="6">
        <v>100</v>
      </c>
      <c r="L96" s="6">
        <v>100</v>
      </c>
      <c r="M96" s="6">
        <v>110</v>
      </c>
      <c r="N96" s="6">
        <v>49</v>
      </c>
      <c r="O96" s="6">
        <v>0</v>
      </c>
      <c r="P96" s="6">
        <f t="shared" si="2"/>
        <v>87.25</v>
      </c>
      <c r="Q96" s="6" t="s">
        <v>165</v>
      </c>
    </row>
    <row r="97" spans="1:17" s="6" customFormat="1" x14ac:dyDescent="0.25">
      <c r="A97" s="6" t="s">
        <v>206</v>
      </c>
      <c r="B97" s="6" t="s">
        <v>119</v>
      </c>
      <c r="C97" s="6">
        <v>123040017</v>
      </c>
      <c r="E97" s="17">
        <v>46011.001030092601</v>
      </c>
      <c r="F97" s="6" t="s">
        <v>18</v>
      </c>
      <c r="H97" s="6">
        <v>446</v>
      </c>
      <c r="J97" s="6">
        <v>90</v>
      </c>
      <c r="K97" s="6">
        <v>100</v>
      </c>
      <c r="L97" s="6">
        <v>95</v>
      </c>
      <c r="M97" s="6">
        <v>110</v>
      </c>
      <c r="N97" s="6">
        <v>51</v>
      </c>
      <c r="O97" s="6">
        <v>0</v>
      </c>
      <c r="P97" s="6">
        <f t="shared" si="2"/>
        <v>86.875</v>
      </c>
      <c r="Q97" s="6" t="s">
        <v>165</v>
      </c>
    </row>
    <row r="98" spans="1:17" s="6" customFormat="1" x14ac:dyDescent="0.25">
      <c r="A98" s="6" t="s">
        <v>207</v>
      </c>
      <c r="B98" s="6" t="s">
        <v>208</v>
      </c>
      <c r="C98" s="6">
        <v>123090539</v>
      </c>
      <c r="E98" s="17">
        <v>45998.482025463003</v>
      </c>
      <c r="F98" s="6" t="s">
        <v>18</v>
      </c>
      <c r="H98" s="6">
        <v>442</v>
      </c>
      <c r="J98" s="6">
        <v>79</v>
      </c>
      <c r="K98" s="6">
        <v>100</v>
      </c>
      <c r="L98" s="6">
        <v>94</v>
      </c>
      <c r="M98" s="6">
        <v>110</v>
      </c>
      <c r="N98" s="6">
        <v>59</v>
      </c>
      <c r="O98" s="6">
        <v>0</v>
      </c>
      <c r="P98" s="6">
        <f t="shared" ref="P98:P129" si="3">MIN(SUM(J98:M98),400)/4*0.7+I98+N98*0.25+5+O98</f>
        <v>86.775000000000006</v>
      </c>
      <c r="Q98" s="6" t="s">
        <v>165</v>
      </c>
    </row>
    <row r="99" spans="1:17" s="6" customFormat="1" x14ac:dyDescent="0.25">
      <c r="A99" s="6" t="s">
        <v>209</v>
      </c>
      <c r="B99" s="6" t="s">
        <v>210</v>
      </c>
      <c r="C99" s="6">
        <v>123090733</v>
      </c>
      <c r="E99" s="17">
        <v>45997.731226851902</v>
      </c>
      <c r="F99" s="6" t="s">
        <v>18</v>
      </c>
      <c r="H99" s="6">
        <v>461</v>
      </c>
      <c r="J99" s="6">
        <v>110</v>
      </c>
      <c r="K99" s="6">
        <v>100</v>
      </c>
      <c r="L99" s="6">
        <v>94</v>
      </c>
      <c r="M99" s="6">
        <v>110</v>
      </c>
      <c r="N99" s="6">
        <v>47</v>
      </c>
      <c r="O99" s="6">
        <v>0</v>
      </c>
      <c r="P99" s="6">
        <f t="shared" si="3"/>
        <v>86.75</v>
      </c>
      <c r="Q99" s="6" t="s">
        <v>165</v>
      </c>
    </row>
    <row r="100" spans="1:17" s="6" customFormat="1" x14ac:dyDescent="0.25">
      <c r="A100" s="6" t="s">
        <v>211</v>
      </c>
      <c r="B100" s="6" t="s">
        <v>212</v>
      </c>
      <c r="C100" s="6">
        <v>122090020</v>
      </c>
      <c r="D100" s="6" t="s">
        <v>24</v>
      </c>
      <c r="E100" s="17">
        <v>46013.642175925903</v>
      </c>
      <c r="F100" s="6" t="s">
        <v>18</v>
      </c>
      <c r="H100" s="6">
        <v>465</v>
      </c>
      <c r="J100" s="6">
        <v>110</v>
      </c>
      <c r="K100" s="6">
        <v>80</v>
      </c>
      <c r="L100" s="6">
        <v>95</v>
      </c>
      <c r="M100" s="6">
        <v>110</v>
      </c>
      <c r="N100" s="6">
        <v>70</v>
      </c>
      <c r="O100" s="6">
        <v>-5</v>
      </c>
      <c r="P100" s="6">
        <f t="shared" si="3"/>
        <v>86.625</v>
      </c>
      <c r="Q100" s="6" t="s">
        <v>165</v>
      </c>
    </row>
    <row r="101" spans="1:17" s="6" customFormat="1" x14ac:dyDescent="0.25">
      <c r="A101" s="6" t="s">
        <v>213</v>
      </c>
      <c r="B101" s="6" t="s">
        <v>214</v>
      </c>
      <c r="C101" s="6">
        <v>123090206</v>
      </c>
      <c r="E101" s="17">
        <v>46000.213587963</v>
      </c>
      <c r="F101" s="6" t="s">
        <v>18</v>
      </c>
      <c r="H101" s="6">
        <v>434</v>
      </c>
      <c r="J101" s="6">
        <v>100</v>
      </c>
      <c r="K101" s="6">
        <v>100</v>
      </c>
      <c r="L101" s="6">
        <v>60</v>
      </c>
      <c r="M101" s="6">
        <v>100</v>
      </c>
      <c r="N101" s="6">
        <v>74</v>
      </c>
      <c r="O101" s="6">
        <v>0</v>
      </c>
      <c r="P101" s="6">
        <f t="shared" si="3"/>
        <v>86.5</v>
      </c>
      <c r="Q101" s="6" t="s">
        <v>165</v>
      </c>
    </row>
    <row r="102" spans="1:17" s="6" customFormat="1" x14ac:dyDescent="0.25">
      <c r="A102" s="6" t="s">
        <v>215</v>
      </c>
      <c r="B102" s="6" t="s">
        <v>119</v>
      </c>
      <c r="C102" s="6">
        <v>123040011</v>
      </c>
      <c r="E102" s="17">
        <v>46013.680370370399</v>
      </c>
      <c r="F102" s="6" t="s">
        <v>18</v>
      </c>
      <c r="H102" s="6">
        <v>444</v>
      </c>
      <c r="J102" s="6">
        <v>90</v>
      </c>
      <c r="K102" s="6">
        <v>90</v>
      </c>
      <c r="L102" s="6">
        <v>104</v>
      </c>
      <c r="M102" s="6">
        <v>110</v>
      </c>
      <c r="N102" s="6">
        <v>50</v>
      </c>
      <c r="O102" s="6">
        <v>0</v>
      </c>
      <c r="P102" s="6">
        <f t="shared" si="3"/>
        <v>86.45</v>
      </c>
      <c r="Q102" s="6" t="s">
        <v>165</v>
      </c>
    </row>
    <row r="103" spans="1:17" s="6" customFormat="1" x14ac:dyDescent="0.25">
      <c r="A103" s="6" t="s">
        <v>216</v>
      </c>
      <c r="B103" s="6" t="s">
        <v>217</v>
      </c>
      <c r="C103" s="6">
        <v>122040084</v>
      </c>
      <c r="D103" s="6" t="s">
        <v>24</v>
      </c>
      <c r="E103" s="17">
        <v>46013.677592592598</v>
      </c>
      <c r="F103" s="6" t="s">
        <v>18</v>
      </c>
      <c r="H103" s="6">
        <v>443</v>
      </c>
      <c r="J103" s="6">
        <v>100</v>
      </c>
      <c r="K103" s="6">
        <v>90</v>
      </c>
      <c r="L103" s="6">
        <v>93</v>
      </c>
      <c r="M103" s="6">
        <v>110</v>
      </c>
      <c r="N103" s="6">
        <v>50</v>
      </c>
      <c r="O103" s="6">
        <v>0</v>
      </c>
      <c r="P103" s="6">
        <f t="shared" si="3"/>
        <v>86.275000000000006</v>
      </c>
      <c r="Q103" s="6" t="s">
        <v>165</v>
      </c>
    </row>
    <row r="104" spans="1:17" s="6" customFormat="1" x14ac:dyDescent="0.25">
      <c r="A104" s="6" t="s">
        <v>218</v>
      </c>
      <c r="B104" s="6" t="s">
        <v>219</v>
      </c>
      <c r="C104" s="6">
        <v>123090859</v>
      </c>
      <c r="E104" s="17">
        <v>46014.103287037004</v>
      </c>
      <c r="F104" s="6" t="s">
        <v>18</v>
      </c>
      <c r="H104" s="6">
        <v>471</v>
      </c>
      <c r="J104" s="6">
        <v>100</v>
      </c>
      <c r="K104" s="6">
        <v>100</v>
      </c>
      <c r="L104" s="6">
        <v>96</v>
      </c>
      <c r="M104" s="6">
        <v>110</v>
      </c>
      <c r="N104" s="6">
        <v>65</v>
      </c>
      <c r="O104" s="6">
        <v>-5</v>
      </c>
      <c r="P104" s="6">
        <f t="shared" si="3"/>
        <v>86.25</v>
      </c>
      <c r="Q104" s="6" t="s">
        <v>165</v>
      </c>
    </row>
    <row r="105" spans="1:17" s="6" customFormat="1" x14ac:dyDescent="0.25">
      <c r="A105" s="6" t="s">
        <v>220</v>
      </c>
      <c r="B105" s="6" t="s">
        <v>119</v>
      </c>
      <c r="C105" s="6">
        <v>123040010</v>
      </c>
      <c r="E105" s="17">
        <v>46014.620775463001</v>
      </c>
      <c r="F105" s="6" t="s">
        <v>18</v>
      </c>
      <c r="H105" s="6">
        <v>437</v>
      </c>
      <c r="J105" s="6">
        <v>75</v>
      </c>
      <c r="K105" s="6">
        <v>100</v>
      </c>
      <c r="L105" s="6">
        <v>91</v>
      </c>
      <c r="M105" s="6">
        <v>110</v>
      </c>
      <c r="N105" s="6">
        <v>61</v>
      </c>
      <c r="O105" s="6">
        <v>0</v>
      </c>
      <c r="P105" s="6">
        <f t="shared" si="3"/>
        <v>86.05</v>
      </c>
      <c r="Q105" s="6" t="s">
        <v>165</v>
      </c>
    </row>
    <row r="106" spans="1:17" s="6" customFormat="1" x14ac:dyDescent="0.25">
      <c r="A106" s="6" t="s">
        <v>221</v>
      </c>
      <c r="B106" s="6" t="s">
        <v>119</v>
      </c>
      <c r="C106" s="6">
        <v>123040040</v>
      </c>
      <c r="E106" s="17">
        <v>46013.699768518498</v>
      </c>
      <c r="F106" s="6" t="s">
        <v>18</v>
      </c>
      <c r="H106" s="6">
        <v>470</v>
      </c>
      <c r="J106" s="6">
        <v>105</v>
      </c>
      <c r="K106" s="6">
        <v>95</v>
      </c>
      <c r="L106" s="6">
        <v>96</v>
      </c>
      <c r="M106" s="6">
        <v>110</v>
      </c>
      <c r="N106" s="6">
        <v>64</v>
      </c>
      <c r="O106" s="6">
        <v>-5</v>
      </c>
      <c r="P106" s="6">
        <f t="shared" si="3"/>
        <v>86</v>
      </c>
      <c r="Q106" s="6" t="s">
        <v>165</v>
      </c>
    </row>
    <row r="107" spans="1:17" s="6" customFormat="1" x14ac:dyDescent="0.25">
      <c r="A107" s="6" t="s">
        <v>222</v>
      </c>
      <c r="B107" s="6" t="s">
        <v>223</v>
      </c>
      <c r="C107" s="6">
        <v>123090369</v>
      </c>
      <c r="E107" s="17">
        <v>46014.618564814802</v>
      </c>
      <c r="F107" s="6" t="s">
        <v>18</v>
      </c>
      <c r="H107" s="6">
        <v>440</v>
      </c>
      <c r="J107" s="6">
        <v>85</v>
      </c>
      <c r="K107" s="6">
        <v>100</v>
      </c>
      <c r="L107" s="6">
        <v>94</v>
      </c>
      <c r="M107" s="6">
        <v>110</v>
      </c>
      <c r="N107" s="6">
        <v>51</v>
      </c>
      <c r="O107" s="6">
        <v>0</v>
      </c>
      <c r="P107" s="6">
        <f t="shared" si="3"/>
        <v>85.825000000000003</v>
      </c>
      <c r="Q107" s="6" t="s">
        <v>165</v>
      </c>
    </row>
    <row r="108" spans="1:17" s="6" customFormat="1" x14ac:dyDescent="0.25">
      <c r="A108" s="6" t="s">
        <v>224</v>
      </c>
      <c r="B108" s="6" t="s">
        <v>225</v>
      </c>
      <c r="C108" s="6">
        <v>123090012</v>
      </c>
      <c r="E108" s="17">
        <v>45999.737650463001</v>
      </c>
      <c r="F108" s="6" t="s">
        <v>18</v>
      </c>
      <c r="H108" s="6">
        <v>432</v>
      </c>
      <c r="J108" s="6">
        <v>69</v>
      </c>
      <c r="K108" s="6">
        <v>100</v>
      </c>
      <c r="L108" s="6">
        <v>94</v>
      </c>
      <c r="M108" s="6">
        <v>100</v>
      </c>
      <c r="N108" s="6">
        <v>69</v>
      </c>
      <c r="O108" s="6">
        <v>0</v>
      </c>
      <c r="P108" s="6">
        <f t="shared" si="3"/>
        <v>85.775000000000006</v>
      </c>
      <c r="Q108" s="6" t="s">
        <v>165</v>
      </c>
    </row>
    <row r="109" spans="1:17" s="6" customFormat="1" x14ac:dyDescent="0.25">
      <c r="A109" s="6" t="s">
        <v>226</v>
      </c>
      <c r="B109" s="6" t="s">
        <v>227</v>
      </c>
      <c r="C109" s="6">
        <v>123040037</v>
      </c>
      <c r="D109" s="6">
        <v>123040037</v>
      </c>
      <c r="E109" s="17">
        <v>45997.8208564815</v>
      </c>
      <c r="F109" s="6" t="s">
        <v>18</v>
      </c>
      <c r="H109" s="6">
        <v>477</v>
      </c>
      <c r="J109" s="6">
        <v>109</v>
      </c>
      <c r="K109" s="6">
        <v>95</v>
      </c>
      <c r="L109" s="6">
        <v>100</v>
      </c>
      <c r="M109" s="6">
        <v>110</v>
      </c>
      <c r="N109" s="6">
        <v>63</v>
      </c>
      <c r="O109" s="6">
        <v>-5</v>
      </c>
      <c r="P109" s="6">
        <f t="shared" si="3"/>
        <v>85.75</v>
      </c>
      <c r="Q109" s="6" t="s">
        <v>165</v>
      </c>
    </row>
    <row r="110" spans="1:17" s="6" customFormat="1" x14ac:dyDescent="0.25">
      <c r="A110" s="6" t="s">
        <v>228</v>
      </c>
      <c r="B110" s="6" t="s">
        <v>229</v>
      </c>
      <c r="C110" s="6">
        <v>123090401</v>
      </c>
      <c r="E110" s="17">
        <v>46010.657974537004</v>
      </c>
      <c r="F110" s="6" t="s">
        <v>18</v>
      </c>
      <c r="H110" s="6">
        <v>441</v>
      </c>
      <c r="J110" s="6">
        <v>95</v>
      </c>
      <c r="K110" s="6">
        <v>90</v>
      </c>
      <c r="L110" s="6">
        <v>100</v>
      </c>
      <c r="M110" s="6">
        <v>110</v>
      </c>
      <c r="N110" s="6">
        <v>46</v>
      </c>
      <c r="O110" s="6">
        <v>0</v>
      </c>
      <c r="P110" s="6">
        <f t="shared" si="3"/>
        <v>85.625</v>
      </c>
      <c r="Q110" s="6" t="s">
        <v>165</v>
      </c>
    </row>
    <row r="111" spans="1:17" s="6" customFormat="1" x14ac:dyDescent="0.25">
      <c r="A111" s="6" t="s">
        <v>230</v>
      </c>
      <c r="B111" s="6" t="s">
        <v>231</v>
      </c>
      <c r="C111" s="6">
        <v>123090451</v>
      </c>
      <c r="E111" s="17">
        <v>46014.673553240696</v>
      </c>
      <c r="F111" s="6" t="s">
        <v>18</v>
      </c>
      <c r="H111" s="6">
        <v>438</v>
      </c>
      <c r="J111" s="6">
        <v>86</v>
      </c>
      <c r="K111" s="6">
        <v>95</v>
      </c>
      <c r="L111" s="6">
        <v>96</v>
      </c>
      <c r="M111" s="6">
        <v>110</v>
      </c>
      <c r="N111" s="6">
        <v>51</v>
      </c>
      <c r="O111" s="6">
        <v>0</v>
      </c>
      <c r="P111" s="6">
        <f t="shared" si="3"/>
        <v>85.474999999999994</v>
      </c>
      <c r="Q111" s="6" t="s">
        <v>165</v>
      </c>
    </row>
    <row r="112" spans="1:17" s="6" customFormat="1" x14ac:dyDescent="0.25">
      <c r="A112" s="6" t="s">
        <v>232</v>
      </c>
      <c r="B112" s="6" t="s">
        <v>119</v>
      </c>
      <c r="C112" s="6">
        <v>123040042</v>
      </c>
      <c r="E112" s="17">
        <v>46013.633796296301</v>
      </c>
      <c r="F112" s="6" t="s">
        <v>18</v>
      </c>
      <c r="H112" s="6">
        <v>440</v>
      </c>
      <c r="J112" s="6">
        <v>100</v>
      </c>
      <c r="K112" s="6">
        <v>100</v>
      </c>
      <c r="L112" s="6">
        <v>96</v>
      </c>
      <c r="M112" s="6">
        <v>100</v>
      </c>
      <c r="N112" s="6">
        <v>44</v>
      </c>
      <c r="O112" s="6">
        <v>0</v>
      </c>
      <c r="P112" s="6">
        <f t="shared" si="3"/>
        <v>85.3</v>
      </c>
      <c r="Q112" s="6" t="s">
        <v>165</v>
      </c>
    </row>
    <row r="113" spans="1:17" s="6" customFormat="1" x14ac:dyDescent="0.25">
      <c r="A113" s="6" t="s">
        <v>233</v>
      </c>
      <c r="B113" s="6" t="s">
        <v>234</v>
      </c>
      <c r="C113" s="6">
        <v>123090867</v>
      </c>
      <c r="E113" s="17">
        <v>45998.016689814802</v>
      </c>
      <c r="F113" s="6" t="s">
        <v>18</v>
      </c>
      <c r="H113" s="6">
        <v>459</v>
      </c>
      <c r="J113" s="6">
        <v>104</v>
      </c>
      <c r="K113" s="6">
        <v>95</v>
      </c>
      <c r="L113" s="6">
        <v>94</v>
      </c>
      <c r="M113" s="6">
        <v>100</v>
      </c>
      <c r="N113" s="6">
        <v>66</v>
      </c>
      <c r="O113" s="6">
        <v>-5</v>
      </c>
      <c r="P113" s="6">
        <f t="shared" si="3"/>
        <v>85.275000000000006</v>
      </c>
      <c r="Q113" s="6" t="s">
        <v>165</v>
      </c>
    </row>
    <row r="114" spans="1:17" s="6" customFormat="1" x14ac:dyDescent="0.25">
      <c r="A114" s="6" t="s">
        <v>235</v>
      </c>
      <c r="B114" s="6" t="s">
        <v>236</v>
      </c>
      <c r="C114" s="6">
        <v>122090847</v>
      </c>
      <c r="D114" s="6" t="s">
        <v>24</v>
      </c>
      <c r="E114" s="17">
        <v>46014.681064814802</v>
      </c>
      <c r="F114" s="6" t="s">
        <v>18</v>
      </c>
      <c r="H114" s="6">
        <v>435</v>
      </c>
      <c r="J114" s="6">
        <v>80</v>
      </c>
      <c r="K114" s="6">
        <v>96</v>
      </c>
      <c r="L114" s="6">
        <v>96</v>
      </c>
      <c r="M114" s="6">
        <v>110</v>
      </c>
      <c r="N114" s="6">
        <v>53</v>
      </c>
      <c r="O114" s="6">
        <v>0</v>
      </c>
      <c r="P114" s="6">
        <f t="shared" si="3"/>
        <v>85.1</v>
      </c>
      <c r="Q114" s="6" t="s">
        <v>165</v>
      </c>
    </row>
    <row r="115" spans="1:17" s="6" customFormat="1" x14ac:dyDescent="0.25">
      <c r="A115" s="6" t="s">
        <v>237</v>
      </c>
      <c r="B115" s="6" t="s">
        <v>238</v>
      </c>
      <c r="C115" s="6">
        <v>122090466</v>
      </c>
      <c r="D115" s="6">
        <v>122090466</v>
      </c>
      <c r="E115" s="17">
        <v>46014.658969907403</v>
      </c>
      <c r="F115" s="6" t="s">
        <v>18</v>
      </c>
      <c r="H115" s="6">
        <v>425</v>
      </c>
      <c r="J115" s="6">
        <v>39</v>
      </c>
      <c r="K115" s="6">
        <v>100</v>
      </c>
      <c r="L115" s="6">
        <v>100</v>
      </c>
      <c r="M115" s="6">
        <v>110</v>
      </c>
      <c r="N115" s="6">
        <v>76</v>
      </c>
      <c r="O115" s="6">
        <v>0</v>
      </c>
      <c r="P115" s="6">
        <f t="shared" si="3"/>
        <v>85.075000000000003</v>
      </c>
      <c r="Q115" s="6" t="s">
        <v>165</v>
      </c>
    </row>
    <row r="116" spans="1:17" s="7" customFormat="1" x14ac:dyDescent="0.25">
      <c r="A116" s="7" t="s">
        <v>239</v>
      </c>
      <c r="B116" s="7" t="s">
        <v>240</v>
      </c>
      <c r="C116" s="7">
        <v>122090164</v>
      </c>
      <c r="D116" s="7" t="s">
        <v>24</v>
      </c>
      <c r="E116" s="18">
        <v>46010.648252314801</v>
      </c>
      <c r="F116" s="7" t="s">
        <v>18</v>
      </c>
      <c r="H116" s="7">
        <v>438</v>
      </c>
      <c r="J116" s="7">
        <v>90</v>
      </c>
      <c r="K116" s="7">
        <v>100</v>
      </c>
      <c r="L116" s="7">
        <v>95</v>
      </c>
      <c r="M116" s="7">
        <v>110</v>
      </c>
      <c r="N116" s="7">
        <v>43</v>
      </c>
      <c r="O116" s="7">
        <v>0</v>
      </c>
      <c r="P116" s="7">
        <f t="shared" si="3"/>
        <v>84.875</v>
      </c>
      <c r="Q116" s="7" t="s">
        <v>241</v>
      </c>
    </row>
    <row r="117" spans="1:17" s="7" customFormat="1" x14ac:dyDescent="0.25">
      <c r="A117" s="7" t="s">
        <v>242</v>
      </c>
      <c r="B117" s="7" t="s">
        <v>243</v>
      </c>
      <c r="C117" s="7">
        <v>122090655</v>
      </c>
      <c r="D117" s="7" t="s">
        <v>24</v>
      </c>
      <c r="E117" s="18">
        <v>45997.629432870403</v>
      </c>
      <c r="F117" s="7" t="s">
        <v>18</v>
      </c>
      <c r="H117" s="7">
        <v>456</v>
      </c>
      <c r="J117" s="7">
        <v>90</v>
      </c>
      <c r="K117" s="7">
        <v>100</v>
      </c>
      <c r="L117" s="7">
        <v>100</v>
      </c>
      <c r="M117" s="7">
        <v>100</v>
      </c>
      <c r="N117" s="7">
        <v>66</v>
      </c>
      <c r="O117" s="7">
        <v>-5</v>
      </c>
      <c r="P117" s="7">
        <f t="shared" si="3"/>
        <v>84.75</v>
      </c>
      <c r="Q117" s="7" t="s">
        <v>241</v>
      </c>
    </row>
    <row r="118" spans="1:17" s="7" customFormat="1" x14ac:dyDescent="0.25">
      <c r="A118" s="7" t="s">
        <v>244</v>
      </c>
      <c r="B118" s="7" t="s">
        <v>245</v>
      </c>
      <c r="C118" s="7">
        <v>122090432</v>
      </c>
      <c r="D118" s="7" t="s">
        <v>24</v>
      </c>
      <c r="E118" s="18">
        <v>45998.485034722202</v>
      </c>
      <c r="F118" s="7" t="s">
        <v>18</v>
      </c>
      <c r="H118" s="7">
        <v>455</v>
      </c>
      <c r="J118" s="7">
        <v>90</v>
      </c>
      <c r="K118" s="7">
        <v>100</v>
      </c>
      <c r="L118" s="7">
        <v>94</v>
      </c>
      <c r="M118" s="7">
        <v>110</v>
      </c>
      <c r="N118" s="7">
        <v>61</v>
      </c>
      <c r="O118" s="7">
        <v>-5</v>
      </c>
      <c r="P118" s="7">
        <f t="shared" si="3"/>
        <v>84.2</v>
      </c>
      <c r="Q118" s="7" t="s">
        <v>241</v>
      </c>
    </row>
    <row r="119" spans="1:17" s="7" customFormat="1" x14ac:dyDescent="0.25">
      <c r="A119" s="7" t="s">
        <v>246</v>
      </c>
      <c r="B119" s="7" t="s">
        <v>247</v>
      </c>
      <c r="C119" s="7">
        <v>124020410</v>
      </c>
      <c r="E119" s="18">
        <v>46013.461620370399</v>
      </c>
      <c r="F119" s="7" t="s">
        <v>18</v>
      </c>
      <c r="H119" s="7">
        <v>440</v>
      </c>
      <c r="J119" s="7">
        <v>105</v>
      </c>
      <c r="K119" s="7">
        <v>98</v>
      </c>
      <c r="L119" s="7">
        <v>93</v>
      </c>
      <c r="M119" s="7">
        <v>110</v>
      </c>
      <c r="N119" s="7">
        <v>34</v>
      </c>
      <c r="O119" s="7">
        <v>0</v>
      </c>
      <c r="P119" s="7">
        <f t="shared" si="3"/>
        <v>83.5</v>
      </c>
      <c r="Q119" s="7" t="s">
        <v>241</v>
      </c>
    </row>
    <row r="120" spans="1:17" s="7" customFormat="1" x14ac:dyDescent="0.25">
      <c r="A120" s="7" t="s">
        <v>248</v>
      </c>
      <c r="B120" s="7" t="s">
        <v>249</v>
      </c>
      <c r="C120" s="7">
        <v>122090809</v>
      </c>
      <c r="E120" s="18">
        <v>45998.166111111103</v>
      </c>
      <c r="F120" s="7" t="s">
        <v>18</v>
      </c>
      <c r="H120" s="7">
        <v>421</v>
      </c>
      <c r="J120" s="7">
        <v>75</v>
      </c>
      <c r="K120" s="7">
        <v>100</v>
      </c>
      <c r="L120" s="7">
        <v>81</v>
      </c>
      <c r="M120" s="7">
        <v>110</v>
      </c>
      <c r="N120" s="7">
        <v>55</v>
      </c>
      <c r="O120" s="7">
        <v>0</v>
      </c>
      <c r="P120" s="7">
        <f t="shared" si="3"/>
        <v>82.8</v>
      </c>
      <c r="Q120" s="7" t="s">
        <v>241</v>
      </c>
    </row>
    <row r="121" spans="1:17" s="7" customFormat="1" x14ac:dyDescent="0.25">
      <c r="A121" s="7" t="s">
        <v>250</v>
      </c>
      <c r="B121" s="7" t="s">
        <v>251</v>
      </c>
      <c r="C121" s="7">
        <v>123090575</v>
      </c>
      <c r="E121" s="18">
        <v>45997.731273148202</v>
      </c>
      <c r="F121" s="7" t="s">
        <v>18</v>
      </c>
      <c r="H121" s="7">
        <v>449</v>
      </c>
      <c r="J121" s="7">
        <v>90</v>
      </c>
      <c r="K121" s="7">
        <v>100</v>
      </c>
      <c r="L121" s="7">
        <v>98</v>
      </c>
      <c r="M121" s="7">
        <v>110</v>
      </c>
      <c r="N121" s="7">
        <v>51</v>
      </c>
      <c r="O121" s="7">
        <v>-5</v>
      </c>
      <c r="P121" s="7">
        <f t="shared" si="3"/>
        <v>82.4</v>
      </c>
      <c r="Q121" s="7" t="s">
        <v>241</v>
      </c>
    </row>
    <row r="122" spans="1:17" s="7" customFormat="1" x14ac:dyDescent="0.25">
      <c r="A122" s="7" t="s">
        <v>252</v>
      </c>
      <c r="B122" s="7" t="s">
        <v>253</v>
      </c>
      <c r="C122" s="7">
        <v>122090121</v>
      </c>
      <c r="D122" s="7" t="s">
        <v>24</v>
      </c>
      <c r="E122" s="18">
        <v>46014.688831018502</v>
      </c>
      <c r="F122" s="7" t="s">
        <v>18</v>
      </c>
      <c r="H122" s="7">
        <v>423</v>
      </c>
      <c r="J122" s="7">
        <v>95</v>
      </c>
      <c r="K122" s="7">
        <v>90</v>
      </c>
      <c r="L122" s="7">
        <v>98</v>
      </c>
      <c r="M122" s="7">
        <v>100</v>
      </c>
      <c r="N122" s="7">
        <v>40</v>
      </c>
      <c r="O122" s="7">
        <v>0</v>
      </c>
      <c r="P122" s="7">
        <f t="shared" si="3"/>
        <v>82.025000000000006</v>
      </c>
      <c r="Q122" s="7" t="s">
        <v>241</v>
      </c>
    </row>
    <row r="123" spans="1:17" s="7" customFormat="1" x14ac:dyDescent="0.25">
      <c r="A123" s="7" t="s">
        <v>254</v>
      </c>
      <c r="B123" s="7" t="s">
        <v>255</v>
      </c>
      <c r="C123" s="7">
        <v>123090714</v>
      </c>
      <c r="E123" s="18">
        <v>45997.923634259299</v>
      </c>
      <c r="F123" s="7" t="s">
        <v>18</v>
      </c>
      <c r="H123" s="7">
        <v>444</v>
      </c>
      <c r="J123" s="7">
        <v>90</v>
      </c>
      <c r="K123" s="7">
        <v>95</v>
      </c>
      <c r="L123" s="7">
        <v>96</v>
      </c>
      <c r="M123" s="7">
        <v>110</v>
      </c>
      <c r="N123" s="7">
        <v>53</v>
      </c>
      <c r="O123" s="7">
        <v>-5</v>
      </c>
      <c r="P123" s="7">
        <f t="shared" si="3"/>
        <v>81.674999999999997</v>
      </c>
      <c r="Q123" s="7" t="s">
        <v>241</v>
      </c>
    </row>
    <row r="124" spans="1:17" s="7" customFormat="1" x14ac:dyDescent="0.25">
      <c r="A124" s="7" t="s">
        <v>256</v>
      </c>
      <c r="B124" s="7" t="s">
        <v>257</v>
      </c>
      <c r="C124" s="7">
        <v>122090192</v>
      </c>
      <c r="D124" s="7" t="s">
        <v>24</v>
      </c>
      <c r="E124" s="18">
        <v>45998.492673611101</v>
      </c>
      <c r="F124" s="7" t="s">
        <v>18</v>
      </c>
      <c r="H124" s="7">
        <v>439</v>
      </c>
      <c r="J124" s="7">
        <v>80</v>
      </c>
      <c r="K124" s="7">
        <v>90</v>
      </c>
      <c r="L124" s="7">
        <v>96</v>
      </c>
      <c r="M124" s="7">
        <v>110</v>
      </c>
      <c r="N124" s="7">
        <v>63</v>
      </c>
      <c r="O124" s="7">
        <v>-5</v>
      </c>
      <c r="P124" s="7">
        <f t="shared" si="3"/>
        <v>81.55</v>
      </c>
      <c r="Q124" s="7" t="s">
        <v>241</v>
      </c>
    </row>
    <row r="125" spans="1:17" s="7" customFormat="1" x14ac:dyDescent="0.25">
      <c r="A125" s="7" t="s">
        <v>258</v>
      </c>
      <c r="B125" s="7" t="s">
        <v>259</v>
      </c>
      <c r="C125" s="7">
        <v>121040085</v>
      </c>
      <c r="E125" s="18">
        <v>45997.833599537</v>
      </c>
      <c r="F125" s="7" t="s">
        <v>18</v>
      </c>
      <c r="H125" s="7">
        <v>416</v>
      </c>
      <c r="J125" s="7">
        <v>90</v>
      </c>
      <c r="K125" s="7">
        <v>81</v>
      </c>
      <c r="L125" s="7">
        <v>95</v>
      </c>
      <c r="M125" s="7">
        <v>100</v>
      </c>
      <c r="N125" s="7">
        <v>50</v>
      </c>
      <c r="O125" s="7">
        <v>0</v>
      </c>
      <c r="P125" s="7">
        <f t="shared" si="3"/>
        <v>81.55</v>
      </c>
      <c r="Q125" s="7" t="s">
        <v>241</v>
      </c>
    </row>
    <row r="126" spans="1:17" s="7" customFormat="1" x14ac:dyDescent="0.25">
      <c r="A126" s="7" t="s">
        <v>260</v>
      </c>
      <c r="B126" s="7" t="s">
        <v>119</v>
      </c>
      <c r="C126" s="7">
        <v>123040035</v>
      </c>
      <c r="E126" s="18">
        <v>46013.640046296299</v>
      </c>
      <c r="F126" s="7" t="s">
        <v>18</v>
      </c>
      <c r="H126" s="7">
        <v>444</v>
      </c>
      <c r="J126" s="7">
        <v>90</v>
      </c>
      <c r="K126" s="7">
        <v>100</v>
      </c>
      <c r="L126" s="7">
        <v>93</v>
      </c>
      <c r="M126" s="7">
        <v>110</v>
      </c>
      <c r="N126" s="7">
        <v>51</v>
      </c>
      <c r="O126" s="7">
        <v>-5</v>
      </c>
      <c r="P126" s="7">
        <f t="shared" si="3"/>
        <v>81.525000000000006</v>
      </c>
      <c r="Q126" s="7" t="s">
        <v>241</v>
      </c>
    </row>
    <row r="127" spans="1:17" s="7" customFormat="1" x14ac:dyDescent="0.25">
      <c r="A127" s="7" t="s">
        <v>261</v>
      </c>
      <c r="B127" s="7" t="s">
        <v>262</v>
      </c>
      <c r="C127" s="7">
        <v>122040083</v>
      </c>
      <c r="D127" s="7" t="s">
        <v>24</v>
      </c>
      <c r="E127" s="18">
        <v>45998.450775463003</v>
      </c>
      <c r="F127" s="7" t="s">
        <v>18</v>
      </c>
      <c r="H127" s="7">
        <v>422</v>
      </c>
      <c r="J127" s="7">
        <v>98</v>
      </c>
      <c r="K127" s="7">
        <v>95</v>
      </c>
      <c r="L127" s="7">
        <v>94</v>
      </c>
      <c r="M127" s="7">
        <v>100</v>
      </c>
      <c r="N127" s="7">
        <v>35</v>
      </c>
      <c r="O127" s="7">
        <v>0</v>
      </c>
      <c r="P127" s="7">
        <f t="shared" si="3"/>
        <v>81.474999999999994</v>
      </c>
      <c r="Q127" s="7" t="s">
        <v>241</v>
      </c>
    </row>
    <row r="128" spans="1:17" s="7" customFormat="1" x14ac:dyDescent="0.25">
      <c r="A128" s="7" t="s">
        <v>263</v>
      </c>
      <c r="B128" s="7" t="s">
        <v>119</v>
      </c>
      <c r="C128" s="7">
        <v>123040033</v>
      </c>
      <c r="E128" s="18">
        <v>45998.3753125</v>
      </c>
      <c r="F128" s="7" t="s">
        <v>18</v>
      </c>
      <c r="H128" s="7">
        <v>438</v>
      </c>
      <c r="J128" s="7">
        <v>75</v>
      </c>
      <c r="K128" s="7">
        <v>100</v>
      </c>
      <c r="L128" s="7">
        <v>96</v>
      </c>
      <c r="M128" s="7">
        <v>110</v>
      </c>
      <c r="N128" s="7">
        <v>57</v>
      </c>
      <c r="O128" s="7">
        <v>-5</v>
      </c>
      <c r="P128" s="7">
        <f t="shared" si="3"/>
        <v>80.924999999999997</v>
      </c>
      <c r="Q128" s="7" t="s">
        <v>241</v>
      </c>
    </row>
    <row r="129" spans="1:17" s="7" customFormat="1" x14ac:dyDescent="0.25">
      <c r="A129" s="7" t="s">
        <v>264</v>
      </c>
      <c r="B129" s="7" t="s">
        <v>265</v>
      </c>
      <c r="C129" s="7">
        <v>122040062</v>
      </c>
      <c r="D129" s="7" t="s">
        <v>24</v>
      </c>
      <c r="E129" s="18">
        <v>45997.9604398148</v>
      </c>
      <c r="F129" s="7" t="s">
        <v>18</v>
      </c>
      <c r="H129" s="7">
        <v>414</v>
      </c>
      <c r="J129" s="7">
        <v>80</v>
      </c>
      <c r="K129" s="7">
        <v>80</v>
      </c>
      <c r="L129" s="7">
        <v>106</v>
      </c>
      <c r="M129" s="7">
        <v>110</v>
      </c>
      <c r="N129" s="7">
        <v>38</v>
      </c>
      <c r="O129" s="7">
        <v>0</v>
      </c>
      <c r="P129" s="7">
        <f t="shared" si="3"/>
        <v>80.3</v>
      </c>
      <c r="Q129" s="7" t="s">
        <v>241</v>
      </c>
    </row>
    <row r="130" spans="1:17" s="2" customFormat="1" x14ac:dyDescent="0.25">
      <c r="A130" s="2" t="s">
        <v>266</v>
      </c>
      <c r="B130" s="2" t="s">
        <v>267</v>
      </c>
      <c r="C130" s="2">
        <v>122090831</v>
      </c>
      <c r="D130" s="2" t="s">
        <v>24</v>
      </c>
      <c r="E130" s="13">
        <v>45997.9694212963</v>
      </c>
      <c r="F130" s="2" t="s">
        <v>18</v>
      </c>
      <c r="H130" s="2">
        <v>404</v>
      </c>
      <c r="J130" s="2">
        <v>87</v>
      </c>
      <c r="K130" s="2">
        <v>90</v>
      </c>
      <c r="L130" s="2">
        <v>60</v>
      </c>
      <c r="M130" s="2">
        <v>110</v>
      </c>
      <c r="N130" s="2">
        <v>57</v>
      </c>
      <c r="O130" s="2">
        <v>0</v>
      </c>
      <c r="P130" s="2">
        <f t="shared" ref="P130:P161" si="4">MIN(SUM(J130:M130),400)/4*0.7+I130+N130*0.25+5+O130</f>
        <v>79.974999999999994</v>
      </c>
      <c r="Q130" s="2" t="s">
        <v>268</v>
      </c>
    </row>
    <row r="131" spans="1:17" s="2" customFormat="1" x14ac:dyDescent="0.25">
      <c r="A131" s="2" t="s">
        <v>269</v>
      </c>
      <c r="B131" s="2" t="s">
        <v>270</v>
      </c>
      <c r="C131" s="2">
        <v>122090071</v>
      </c>
      <c r="D131" s="2" t="s">
        <v>24</v>
      </c>
      <c r="E131" s="13">
        <v>45997.6333564815</v>
      </c>
      <c r="F131" s="2" t="s">
        <v>18</v>
      </c>
      <c r="H131" s="2">
        <v>400</v>
      </c>
      <c r="J131" s="2">
        <v>75</v>
      </c>
      <c r="K131" s="2">
        <v>95</v>
      </c>
      <c r="L131" s="2">
        <v>60</v>
      </c>
      <c r="M131" s="2">
        <v>106</v>
      </c>
      <c r="N131" s="2">
        <v>64</v>
      </c>
      <c r="O131" s="2">
        <v>0</v>
      </c>
      <c r="P131" s="2">
        <f t="shared" si="4"/>
        <v>79.8</v>
      </c>
      <c r="Q131" s="2" t="s">
        <v>268</v>
      </c>
    </row>
    <row r="132" spans="1:17" s="2" customFormat="1" x14ac:dyDescent="0.25">
      <c r="A132" s="2" t="s">
        <v>271</v>
      </c>
      <c r="B132" s="2" t="s">
        <v>272</v>
      </c>
      <c r="C132" s="2">
        <v>123090422</v>
      </c>
      <c r="E132" s="13">
        <v>45998.481562499997</v>
      </c>
      <c r="F132" s="2" t="s">
        <v>18</v>
      </c>
      <c r="H132" s="2">
        <v>392</v>
      </c>
      <c r="J132" s="2">
        <v>100</v>
      </c>
      <c r="K132" s="2">
        <v>100</v>
      </c>
      <c r="L132" s="2">
        <v>100</v>
      </c>
      <c r="M132" s="2">
        <v>10</v>
      </c>
      <c r="N132" s="2">
        <v>82</v>
      </c>
      <c r="O132" s="2">
        <v>0</v>
      </c>
      <c r="P132" s="2">
        <f t="shared" si="4"/>
        <v>79.75</v>
      </c>
      <c r="Q132" s="2" t="s">
        <v>268</v>
      </c>
    </row>
    <row r="133" spans="1:17" s="2" customFormat="1" x14ac:dyDescent="0.25">
      <c r="A133" s="2" t="s">
        <v>273</v>
      </c>
      <c r="B133" s="2" t="s">
        <v>274</v>
      </c>
      <c r="C133" s="2">
        <v>122090031</v>
      </c>
      <c r="D133" s="2" t="s">
        <v>24</v>
      </c>
      <c r="E133" s="13">
        <v>45998.126435185201</v>
      </c>
      <c r="F133" s="2" t="s">
        <v>18</v>
      </c>
      <c r="H133" s="2">
        <v>406</v>
      </c>
      <c r="J133" s="2">
        <v>95</v>
      </c>
      <c r="K133" s="2">
        <v>100</v>
      </c>
      <c r="L133" s="2">
        <v>65</v>
      </c>
      <c r="M133" s="2">
        <v>99</v>
      </c>
      <c r="N133" s="2">
        <v>47</v>
      </c>
      <c r="O133" s="2">
        <v>0</v>
      </c>
      <c r="P133" s="2">
        <f t="shared" si="4"/>
        <v>79.575000000000003</v>
      </c>
      <c r="Q133" s="2" t="s">
        <v>268</v>
      </c>
    </row>
    <row r="134" spans="1:17" s="2" customFormat="1" x14ac:dyDescent="0.25">
      <c r="A134" s="2" t="s">
        <v>275</v>
      </c>
      <c r="B134" s="2" t="s">
        <v>276</v>
      </c>
      <c r="C134" s="2">
        <v>123090337</v>
      </c>
      <c r="E134" s="13">
        <v>46013.548425925903</v>
      </c>
      <c r="F134" s="2" t="s">
        <v>18</v>
      </c>
      <c r="H134" s="2">
        <v>403</v>
      </c>
      <c r="J134" s="2">
        <v>49</v>
      </c>
      <c r="K134" s="2">
        <v>100</v>
      </c>
      <c r="L134" s="2">
        <v>98</v>
      </c>
      <c r="M134" s="2">
        <v>110</v>
      </c>
      <c r="N134" s="2">
        <v>46</v>
      </c>
      <c r="O134" s="2">
        <v>0</v>
      </c>
      <c r="P134" s="2">
        <f t="shared" si="4"/>
        <v>78.974999999999994</v>
      </c>
      <c r="Q134" s="2" t="s">
        <v>268</v>
      </c>
    </row>
    <row r="135" spans="1:17" s="2" customFormat="1" x14ac:dyDescent="0.25">
      <c r="A135" s="2" t="s">
        <v>277</v>
      </c>
      <c r="B135" s="2" t="s">
        <v>278</v>
      </c>
      <c r="C135" s="2">
        <v>122040088</v>
      </c>
      <c r="D135" s="2" t="s">
        <v>24</v>
      </c>
      <c r="E135" s="13">
        <v>46014.649120370399</v>
      </c>
      <c r="F135" s="2" t="s">
        <v>18</v>
      </c>
      <c r="H135" s="2">
        <v>407</v>
      </c>
      <c r="J135" s="2">
        <v>90</v>
      </c>
      <c r="K135" s="2">
        <v>100</v>
      </c>
      <c r="L135" s="2">
        <v>91</v>
      </c>
      <c r="M135" s="2">
        <v>100</v>
      </c>
      <c r="N135" s="2">
        <v>26</v>
      </c>
      <c r="O135" s="2">
        <v>0</v>
      </c>
      <c r="P135" s="2">
        <f t="shared" si="4"/>
        <v>78.174999999999997</v>
      </c>
      <c r="Q135" s="2" t="s">
        <v>268</v>
      </c>
    </row>
    <row r="136" spans="1:17" s="2" customFormat="1" x14ac:dyDescent="0.25">
      <c r="A136" s="2" t="s">
        <v>279</v>
      </c>
      <c r="B136" s="2" t="s">
        <v>119</v>
      </c>
      <c r="C136" s="2">
        <v>123040015</v>
      </c>
      <c r="E136" s="13">
        <v>46013.699074074102</v>
      </c>
      <c r="F136" s="2" t="s">
        <v>18</v>
      </c>
      <c r="H136" s="2">
        <v>394</v>
      </c>
      <c r="J136" s="2">
        <v>40</v>
      </c>
      <c r="K136" s="2">
        <v>100</v>
      </c>
      <c r="L136" s="2">
        <v>90</v>
      </c>
      <c r="M136" s="2">
        <v>110</v>
      </c>
      <c r="N136" s="2">
        <v>54</v>
      </c>
      <c r="O136" s="2">
        <v>0</v>
      </c>
      <c r="P136" s="2">
        <f t="shared" si="4"/>
        <v>78</v>
      </c>
      <c r="Q136" s="2" t="s">
        <v>268</v>
      </c>
    </row>
    <row r="137" spans="1:17" s="2" customFormat="1" x14ac:dyDescent="0.25">
      <c r="A137" s="2" t="s">
        <v>280</v>
      </c>
      <c r="B137" s="2" t="s">
        <v>119</v>
      </c>
      <c r="C137" s="2">
        <v>123040003</v>
      </c>
      <c r="E137" s="13">
        <v>45998.483645833301</v>
      </c>
      <c r="F137" s="2" t="s">
        <v>18</v>
      </c>
      <c r="H137" s="2">
        <v>414</v>
      </c>
      <c r="J137" s="2">
        <v>40</v>
      </c>
      <c r="K137" s="2">
        <v>100</v>
      </c>
      <c r="L137" s="2">
        <v>91</v>
      </c>
      <c r="M137" s="2">
        <v>110</v>
      </c>
      <c r="N137" s="2">
        <v>73</v>
      </c>
      <c r="O137" s="2">
        <v>-5</v>
      </c>
      <c r="P137" s="2">
        <f t="shared" si="4"/>
        <v>77.924999999999997</v>
      </c>
      <c r="Q137" s="2" t="s">
        <v>268</v>
      </c>
    </row>
    <row r="138" spans="1:17" s="2" customFormat="1" x14ac:dyDescent="0.25">
      <c r="A138" s="2" t="s">
        <v>281</v>
      </c>
      <c r="B138" s="2" t="s">
        <v>282</v>
      </c>
      <c r="C138" s="2">
        <v>122010054</v>
      </c>
      <c r="D138" s="2" t="s">
        <v>24</v>
      </c>
      <c r="E138" s="13">
        <v>46000.491886574098</v>
      </c>
      <c r="F138" s="2" t="s">
        <v>18</v>
      </c>
      <c r="H138" s="2">
        <v>401</v>
      </c>
      <c r="J138" s="2">
        <v>95</v>
      </c>
      <c r="K138" s="2">
        <v>100</v>
      </c>
      <c r="L138" s="2">
        <v>100</v>
      </c>
      <c r="M138" s="2">
        <v>10</v>
      </c>
      <c r="N138" s="2">
        <v>96</v>
      </c>
      <c r="O138" s="2">
        <v>-5</v>
      </c>
      <c r="P138" s="2">
        <f t="shared" si="4"/>
        <v>77.375</v>
      </c>
      <c r="Q138" s="2" t="s">
        <v>268</v>
      </c>
    </row>
    <row r="139" spans="1:17" s="2" customFormat="1" x14ac:dyDescent="0.25">
      <c r="A139" s="2" t="s">
        <v>283</v>
      </c>
      <c r="B139" s="2" t="s">
        <v>284</v>
      </c>
      <c r="C139" s="2">
        <v>122090359</v>
      </c>
      <c r="D139" s="2" t="s">
        <v>24</v>
      </c>
      <c r="E139" s="13">
        <v>46014.622037036999</v>
      </c>
      <c r="F139" s="2" t="s">
        <v>18</v>
      </c>
      <c r="H139" s="2">
        <v>392</v>
      </c>
      <c r="J139" s="2">
        <v>85</v>
      </c>
      <c r="K139" s="2">
        <v>100</v>
      </c>
      <c r="L139" s="2">
        <v>60</v>
      </c>
      <c r="M139" s="2">
        <v>100</v>
      </c>
      <c r="N139" s="2">
        <v>47</v>
      </c>
      <c r="O139" s="2">
        <v>0</v>
      </c>
      <c r="P139" s="2">
        <f t="shared" si="4"/>
        <v>77.125</v>
      </c>
      <c r="Q139" s="2" t="s">
        <v>268</v>
      </c>
    </row>
    <row r="140" spans="1:17" s="2" customFormat="1" x14ac:dyDescent="0.25">
      <c r="A140" s="2" t="s">
        <v>285</v>
      </c>
      <c r="B140" s="2" t="s">
        <v>286</v>
      </c>
      <c r="C140" s="2">
        <v>123090633</v>
      </c>
      <c r="E140" s="13">
        <v>46013.626157407401</v>
      </c>
      <c r="F140" s="2" t="s">
        <v>18</v>
      </c>
      <c r="H140" s="2">
        <v>390</v>
      </c>
      <c r="J140" s="2">
        <v>89</v>
      </c>
      <c r="K140" s="2">
        <v>50</v>
      </c>
      <c r="L140" s="2">
        <v>93</v>
      </c>
      <c r="M140" s="2">
        <v>110</v>
      </c>
      <c r="N140" s="2">
        <v>48</v>
      </c>
      <c r="O140" s="2">
        <v>0</v>
      </c>
      <c r="P140" s="2">
        <f t="shared" si="4"/>
        <v>76.849999999999994</v>
      </c>
      <c r="Q140" s="2" t="s">
        <v>268</v>
      </c>
    </row>
    <row r="141" spans="1:17" s="2" customFormat="1" x14ac:dyDescent="0.25">
      <c r="A141" s="2" t="s">
        <v>287</v>
      </c>
      <c r="B141" s="2" t="s">
        <v>288</v>
      </c>
      <c r="C141" s="2">
        <v>123090063</v>
      </c>
      <c r="E141" s="13">
        <v>45998.461886574099</v>
      </c>
      <c r="F141" s="2" t="s">
        <v>18</v>
      </c>
      <c r="H141" s="2">
        <v>395</v>
      </c>
      <c r="J141" s="2">
        <v>85</v>
      </c>
      <c r="K141" s="2">
        <v>85</v>
      </c>
      <c r="L141" s="2">
        <v>89</v>
      </c>
      <c r="M141" s="2">
        <v>100</v>
      </c>
      <c r="N141" s="2">
        <v>36</v>
      </c>
      <c r="O141" s="2">
        <v>0</v>
      </c>
      <c r="P141" s="2">
        <f t="shared" si="4"/>
        <v>76.825000000000003</v>
      </c>
      <c r="Q141" s="2" t="s">
        <v>268</v>
      </c>
    </row>
    <row r="142" spans="1:17" s="2" customFormat="1" x14ac:dyDescent="0.25">
      <c r="A142" s="2" t="s">
        <v>289</v>
      </c>
      <c r="B142" s="2" t="s">
        <v>290</v>
      </c>
      <c r="C142" s="2">
        <v>123090443</v>
      </c>
      <c r="E142" s="13">
        <v>46014.678287037001</v>
      </c>
      <c r="F142" s="2" t="s">
        <v>18</v>
      </c>
      <c r="H142" s="2">
        <v>412</v>
      </c>
      <c r="J142" s="2">
        <v>95</v>
      </c>
      <c r="K142" s="2">
        <v>100</v>
      </c>
      <c r="L142" s="2">
        <v>60</v>
      </c>
      <c r="M142" s="2">
        <v>110</v>
      </c>
      <c r="N142" s="2">
        <v>47</v>
      </c>
      <c r="O142" s="2">
        <v>-5</v>
      </c>
      <c r="P142" s="2">
        <f t="shared" si="4"/>
        <v>75.625</v>
      </c>
      <c r="Q142" s="2" t="s">
        <v>268</v>
      </c>
    </row>
    <row r="143" spans="1:17" s="8" customFormat="1" x14ac:dyDescent="0.25">
      <c r="A143" s="8" t="s">
        <v>291</v>
      </c>
      <c r="B143" s="8" t="s">
        <v>292</v>
      </c>
      <c r="C143" s="8">
        <v>123090873</v>
      </c>
      <c r="E143" s="19">
        <v>46010.964224536998</v>
      </c>
      <c r="F143" s="8" t="s">
        <v>18</v>
      </c>
      <c r="H143" s="8">
        <v>417</v>
      </c>
      <c r="J143" s="8">
        <v>80</v>
      </c>
      <c r="K143" s="8">
        <v>98</v>
      </c>
      <c r="L143" s="8">
        <v>103</v>
      </c>
      <c r="M143" s="8">
        <v>110</v>
      </c>
      <c r="N143" s="8">
        <v>26</v>
      </c>
      <c r="O143" s="8">
        <v>-5</v>
      </c>
      <c r="P143" s="8">
        <f t="shared" si="4"/>
        <v>74.924999999999997</v>
      </c>
      <c r="Q143" s="8" t="s">
        <v>293</v>
      </c>
    </row>
    <row r="144" spans="1:17" s="8" customFormat="1" x14ac:dyDescent="0.25">
      <c r="A144" s="8" t="s">
        <v>294</v>
      </c>
      <c r="B144" s="8" t="s">
        <v>295</v>
      </c>
      <c r="C144" s="8">
        <v>122090293</v>
      </c>
      <c r="D144" s="8" t="s">
        <v>24</v>
      </c>
      <c r="E144" s="19">
        <v>46013.685185185197</v>
      </c>
      <c r="F144" s="8" t="s">
        <v>18</v>
      </c>
      <c r="H144" s="8">
        <v>368</v>
      </c>
      <c r="J144" s="8">
        <v>90</v>
      </c>
      <c r="K144" s="8">
        <v>95</v>
      </c>
      <c r="L144" s="8">
        <v>100</v>
      </c>
      <c r="M144" s="8">
        <v>10</v>
      </c>
      <c r="N144" s="8">
        <v>73</v>
      </c>
      <c r="O144" s="8">
        <v>0</v>
      </c>
      <c r="P144" s="8">
        <f t="shared" si="4"/>
        <v>74.875</v>
      </c>
      <c r="Q144" s="8" t="s">
        <v>293</v>
      </c>
    </row>
    <row r="145" spans="1:17" s="8" customFormat="1" x14ac:dyDescent="0.25">
      <c r="A145" s="8" t="s">
        <v>296</v>
      </c>
      <c r="B145" s="8" t="s">
        <v>297</v>
      </c>
      <c r="C145" s="8">
        <v>122090737</v>
      </c>
      <c r="E145" s="19">
        <v>46008.138773148101</v>
      </c>
      <c r="F145" s="8" t="s">
        <v>18</v>
      </c>
      <c r="H145" s="8">
        <v>387</v>
      </c>
      <c r="J145" s="8">
        <v>100</v>
      </c>
      <c r="K145" s="8">
        <v>85</v>
      </c>
      <c r="L145" s="8">
        <v>73</v>
      </c>
      <c r="M145" s="8">
        <v>110</v>
      </c>
      <c r="N145" s="8">
        <v>19</v>
      </c>
      <c r="O145" s="8">
        <v>0</v>
      </c>
      <c r="P145" s="8">
        <f t="shared" si="4"/>
        <v>74.150000000000006</v>
      </c>
      <c r="Q145" s="8" t="s">
        <v>293</v>
      </c>
    </row>
    <row r="146" spans="1:17" s="8" customFormat="1" x14ac:dyDescent="0.25">
      <c r="A146" s="8" t="s">
        <v>298</v>
      </c>
      <c r="B146" s="8" t="s">
        <v>299</v>
      </c>
      <c r="C146" s="8">
        <v>123090541</v>
      </c>
      <c r="E146" s="19">
        <v>46014.417997685203</v>
      </c>
      <c r="F146" s="8" t="s">
        <v>18</v>
      </c>
      <c r="H146" s="8">
        <v>397</v>
      </c>
      <c r="J146" s="8">
        <v>30</v>
      </c>
      <c r="K146" s="8">
        <v>100</v>
      </c>
      <c r="L146" s="8">
        <v>96</v>
      </c>
      <c r="M146" s="8">
        <v>110</v>
      </c>
      <c r="N146" s="8">
        <v>61</v>
      </c>
      <c r="O146" s="8">
        <v>-5</v>
      </c>
      <c r="P146" s="8">
        <f t="shared" si="4"/>
        <v>74.05</v>
      </c>
      <c r="Q146" s="8" t="s">
        <v>293</v>
      </c>
    </row>
    <row r="147" spans="1:17" s="8" customFormat="1" x14ac:dyDescent="0.25">
      <c r="A147" s="8" t="s">
        <v>300</v>
      </c>
      <c r="B147" s="8" t="s">
        <v>301</v>
      </c>
      <c r="C147" s="8">
        <v>123090688</v>
      </c>
      <c r="E147" s="19">
        <v>46005.954282407401</v>
      </c>
      <c r="F147" s="8" t="s">
        <v>18</v>
      </c>
      <c r="H147" s="8">
        <v>363</v>
      </c>
      <c r="J147" s="8">
        <v>85</v>
      </c>
      <c r="K147" s="8">
        <v>100</v>
      </c>
      <c r="M147" s="8">
        <v>110</v>
      </c>
      <c r="N147" s="8">
        <v>68</v>
      </c>
      <c r="O147" s="8">
        <v>0</v>
      </c>
      <c r="P147" s="8">
        <f t="shared" si="4"/>
        <v>73.625</v>
      </c>
      <c r="Q147" s="8" t="s">
        <v>293</v>
      </c>
    </row>
    <row r="148" spans="1:17" s="8" customFormat="1" x14ac:dyDescent="0.25">
      <c r="A148" s="8" t="s">
        <v>302</v>
      </c>
      <c r="B148" s="8" t="s">
        <v>303</v>
      </c>
      <c r="C148" s="8">
        <v>123090150</v>
      </c>
      <c r="E148" s="19">
        <v>46014.676203703697</v>
      </c>
      <c r="F148" s="8" t="s">
        <v>18</v>
      </c>
      <c r="H148" s="8">
        <v>373</v>
      </c>
      <c r="J148" s="8">
        <v>60</v>
      </c>
      <c r="K148" s="8">
        <v>100</v>
      </c>
      <c r="L148" s="8">
        <v>75</v>
      </c>
      <c r="M148" s="8">
        <v>95</v>
      </c>
      <c r="N148" s="8">
        <v>43</v>
      </c>
      <c r="O148" s="8">
        <v>0</v>
      </c>
      <c r="P148" s="8">
        <f t="shared" si="4"/>
        <v>73.5</v>
      </c>
      <c r="Q148" s="8" t="s">
        <v>293</v>
      </c>
    </row>
    <row r="149" spans="1:17" s="8" customFormat="1" x14ac:dyDescent="0.25">
      <c r="A149" s="8" t="s">
        <v>304</v>
      </c>
      <c r="B149" s="8" t="s">
        <v>305</v>
      </c>
      <c r="C149" s="8">
        <v>123090464</v>
      </c>
      <c r="E149" s="19">
        <v>45998.487650463001</v>
      </c>
      <c r="F149" s="8" t="s">
        <v>18</v>
      </c>
      <c r="H149" s="8">
        <v>402</v>
      </c>
      <c r="J149" s="8">
        <v>85</v>
      </c>
      <c r="K149" s="8">
        <v>80</v>
      </c>
      <c r="L149" s="8">
        <v>94</v>
      </c>
      <c r="M149" s="8">
        <v>106</v>
      </c>
      <c r="N149" s="8">
        <v>37</v>
      </c>
      <c r="O149" s="8">
        <v>-5</v>
      </c>
      <c r="P149" s="8">
        <f t="shared" si="4"/>
        <v>73.125</v>
      </c>
      <c r="Q149" s="8" t="s">
        <v>293</v>
      </c>
    </row>
    <row r="150" spans="1:17" s="8" customFormat="1" x14ac:dyDescent="0.25">
      <c r="A150" s="8" t="s">
        <v>306</v>
      </c>
      <c r="B150" s="8" t="s">
        <v>307</v>
      </c>
      <c r="C150" s="8">
        <v>122090511</v>
      </c>
      <c r="D150" s="8" t="s">
        <v>24</v>
      </c>
      <c r="E150" s="19">
        <v>45997.932662036997</v>
      </c>
      <c r="F150" s="8" t="s">
        <v>18</v>
      </c>
      <c r="H150" s="8">
        <v>379</v>
      </c>
      <c r="J150" s="8">
        <v>110</v>
      </c>
      <c r="K150" s="8">
        <v>100</v>
      </c>
      <c r="L150" s="8">
        <v>101</v>
      </c>
      <c r="M150" s="8">
        <v>53</v>
      </c>
      <c r="N150" s="8">
        <v>15</v>
      </c>
      <c r="O150" s="8">
        <v>0</v>
      </c>
      <c r="P150" s="8">
        <f t="shared" si="4"/>
        <v>72.45</v>
      </c>
      <c r="Q150" s="8" t="s">
        <v>293</v>
      </c>
    </row>
    <row r="151" spans="1:17" s="8" customFormat="1" x14ac:dyDescent="0.25">
      <c r="A151" s="8" t="s">
        <v>308</v>
      </c>
      <c r="B151" s="8" t="s">
        <v>119</v>
      </c>
      <c r="C151" s="8">
        <v>123040045</v>
      </c>
      <c r="E151" s="19">
        <v>45998.427129629599</v>
      </c>
      <c r="F151" s="8" t="s">
        <v>18</v>
      </c>
      <c r="H151" s="8">
        <v>397</v>
      </c>
      <c r="J151" s="8">
        <v>75</v>
      </c>
      <c r="K151" s="8">
        <v>100</v>
      </c>
      <c r="L151" s="8">
        <v>91</v>
      </c>
      <c r="M151" s="8">
        <v>100</v>
      </c>
      <c r="N151" s="8">
        <v>31</v>
      </c>
      <c r="O151" s="8">
        <v>-5</v>
      </c>
      <c r="P151" s="8">
        <f t="shared" si="4"/>
        <v>71.8</v>
      </c>
      <c r="Q151" s="8" t="s">
        <v>293</v>
      </c>
    </row>
    <row r="152" spans="1:17" s="8" customFormat="1" x14ac:dyDescent="0.25">
      <c r="A152" s="8" t="s">
        <v>309</v>
      </c>
      <c r="B152" s="8" t="s">
        <v>310</v>
      </c>
      <c r="C152" s="8">
        <v>123090148</v>
      </c>
      <c r="E152" s="19">
        <v>45998.493796296301</v>
      </c>
      <c r="F152" s="8" t="s">
        <v>18</v>
      </c>
      <c r="H152" s="8">
        <v>366</v>
      </c>
      <c r="J152" s="8">
        <v>25</v>
      </c>
      <c r="K152" s="8">
        <v>100</v>
      </c>
      <c r="L152" s="8">
        <v>95</v>
      </c>
      <c r="M152" s="8">
        <v>110</v>
      </c>
      <c r="N152" s="8">
        <v>36</v>
      </c>
      <c r="O152" s="8">
        <v>0</v>
      </c>
      <c r="P152" s="8">
        <f t="shared" si="4"/>
        <v>71.75</v>
      </c>
      <c r="Q152" s="8" t="s">
        <v>293</v>
      </c>
    </row>
    <row r="153" spans="1:17" s="8" customFormat="1" x14ac:dyDescent="0.25">
      <c r="A153" s="8" t="s">
        <v>311</v>
      </c>
      <c r="B153" s="8" t="s">
        <v>312</v>
      </c>
      <c r="C153" s="8">
        <v>122090704</v>
      </c>
      <c r="D153" s="8" t="s">
        <v>24</v>
      </c>
      <c r="E153" s="19">
        <v>46013.624768518501</v>
      </c>
      <c r="F153" s="8" t="s">
        <v>18</v>
      </c>
      <c r="H153" s="8">
        <v>354</v>
      </c>
      <c r="J153" s="8">
        <v>90</v>
      </c>
      <c r="K153" s="8">
        <v>100</v>
      </c>
      <c r="L153" s="8">
        <v>107</v>
      </c>
      <c r="M153" s="8">
        <v>10</v>
      </c>
      <c r="N153" s="8">
        <v>47</v>
      </c>
      <c r="O153" s="8">
        <v>0</v>
      </c>
      <c r="P153" s="8">
        <f t="shared" si="4"/>
        <v>70.474999999999994</v>
      </c>
      <c r="Q153" s="8" t="s">
        <v>293</v>
      </c>
    </row>
    <row r="154" spans="1:17" s="8" customFormat="1" x14ac:dyDescent="0.25">
      <c r="A154" s="8" t="s">
        <v>313</v>
      </c>
      <c r="B154" s="8" t="s">
        <v>314</v>
      </c>
      <c r="C154" s="8">
        <v>123090295</v>
      </c>
      <c r="E154" s="19">
        <v>46013.640046296299</v>
      </c>
      <c r="F154" s="8" t="s">
        <v>18</v>
      </c>
      <c r="H154" s="8">
        <v>338</v>
      </c>
      <c r="J154" s="8">
        <v>40</v>
      </c>
      <c r="K154" s="8">
        <v>98</v>
      </c>
      <c r="L154" s="8">
        <v>96</v>
      </c>
      <c r="M154" s="8">
        <v>24</v>
      </c>
      <c r="N154" s="8">
        <v>80</v>
      </c>
      <c r="O154" s="8">
        <v>0</v>
      </c>
      <c r="P154" s="8">
        <f t="shared" si="4"/>
        <v>70.150000000000006</v>
      </c>
      <c r="Q154" s="8" t="s">
        <v>293</v>
      </c>
    </row>
    <row r="155" spans="1:17" s="8" customFormat="1" x14ac:dyDescent="0.25">
      <c r="A155" s="8" t="s">
        <v>315</v>
      </c>
      <c r="B155" s="8" t="s">
        <v>316</v>
      </c>
      <c r="C155" s="8">
        <v>120090050</v>
      </c>
      <c r="E155" s="19">
        <v>46001.938900462999</v>
      </c>
      <c r="F155" s="8" t="s">
        <v>18</v>
      </c>
      <c r="H155" s="8">
        <v>410</v>
      </c>
      <c r="J155" s="8">
        <v>100</v>
      </c>
      <c r="K155" s="8">
        <v>100</v>
      </c>
      <c r="L155" s="8">
        <v>100</v>
      </c>
      <c r="M155" s="8">
        <v>110</v>
      </c>
      <c r="O155" s="8">
        <v>-5</v>
      </c>
      <c r="P155" s="8">
        <f t="shared" si="4"/>
        <v>70</v>
      </c>
      <c r="Q155" s="8" t="s">
        <v>293</v>
      </c>
    </row>
    <row r="156" spans="1:17" s="9" customFormat="1" x14ac:dyDescent="0.25">
      <c r="A156" s="9" t="s">
        <v>317</v>
      </c>
      <c r="B156" s="9" t="s">
        <v>318</v>
      </c>
      <c r="C156" s="9">
        <v>122090269</v>
      </c>
      <c r="D156" s="9" t="s">
        <v>24</v>
      </c>
      <c r="E156" s="20">
        <v>45996.795358796298</v>
      </c>
      <c r="F156" s="9" t="s">
        <v>18</v>
      </c>
      <c r="H156" s="9">
        <v>371</v>
      </c>
      <c r="J156" s="9">
        <v>90</v>
      </c>
      <c r="K156" s="9">
        <v>100</v>
      </c>
      <c r="L156" s="9">
        <v>92</v>
      </c>
      <c r="M156" s="9">
        <v>30</v>
      </c>
      <c r="N156" s="9">
        <v>59</v>
      </c>
      <c r="O156" s="9">
        <v>-5</v>
      </c>
      <c r="P156" s="9">
        <f t="shared" si="4"/>
        <v>69.349999999999994</v>
      </c>
      <c r="Q156" s="9" t="s">
        <v>319</v>
      </c>
    </row>
    <row r="157" spans="1:17" s="9" customFormat="1" x14ac:dyDescent="0.25">
      <c r="A157" s="9" t="s">
        <v>320</v>
      </c>
      <c r="B157" s="9" t="s">
        <v>321</v>
      </c>
      <c r="C157" s="9">
        <v>122090280</v>
      </c>
      <c r="D157" s="9" t="s">
        <v>24</v>
      </c>
      <c r="E157" s="20">
        <v>45997.8041435185</v>
      </c>
      <c r="F157" s="9" t="s">
        <v>18</v>
      </c>
      <c r="H157" s="9">
        <v>357</v>
      </c>
      <c r="J157" s="9">
        <v>40</v>
      </c>
      <c r="K157" s="9">
        <v>100</v>
      </c>
      <c r="L157" s="9">
        <v>85</v>
      </c>
      <c r="M157" s="9">
        <v>110</v>
      </c>
      <c r="N157" s="9">
        <v>22</v>
      </c>
      <c r="O157" s="9">
        <v>0</v>
      </c>
      <c r="P157" s="9">
        <f t="shared" si="4"/>
        <v>69.125</v>
      </c>
      <c r="Q157" s="9" t="s">
        <v>319</v>
      </c>
    </row>
    <row r="158" spans="1:17" s="9" customFormat="1" x14ac:dyDescent="0.25">
      <c r="A158" s="9" t="s">
        <v>322</v>
      </c>
      <c r="B158" s="9" t="s">
        <v>323</v>
      </c>
      <c r="C158" s="9">
        <v>122090746</v>
      </c>
      <c r="E158" s="20">
        <v>46002.634988425903</v>
      </c>
      <c r="F158" s="9" t="s">
        <v>18</v>
      </c>
      <c r="H158" s="9">
        <v>344</v>
      </c>
      <c r="J158" s="9">
        <v>30</v>
      </c>
      <c r="K158" s="9">
        <v>100</v>
      </c>
      <c r="L158" s="9">
        <v>60</v>
      </c>
      <c r="M158" s="9">
        <v>110</v>
      </c>
      <c r="N158" s="9">
        <v>44</v>
      </c>
      <c r="O158" s="9">
        <v>0</v>
      </c>
      <c r="P158" s="9">
        <f t="shared" si="4"/>
        <v>68.5</v>
      </c>
      <c r="Q158" s="9" t="s">
        <v>319</v>
      </c>
    </row>
    <row r="159" spans="1:17" s="9" customFormat="1" x14ac:dyDescent="0.25">
      <c r="A159" s="9" t="s">
        <v>324</v>
      </c>
      <c r="B159" s="9" t="s">
        <v>325</v>
      </c>
      <c r="C159" s="9">
        <v>122090030</v>
      </c>
      <c r="D159" s="9" t="s">
        <v>24</v>
      </c>
      <c r="E159" s="20">
        <v>45998.636956018498</v>
      </c>
      <c r="F159" s="9" t="s">
        <v>18</v>
      </c>
      <c r="H159" s="9">
        <v>381</v>
      </c>
      <c r="J159" s="9">
        <v>50</v>
      </c>
      <c r="K159" s="9">
        <v>100</v>
      </c>
      <c r="L159" s="9">
        <v>97</v>
      </c>
      <c r="M159" s="9">
        <v>110</v>
      </c>
      <c r="N159" s="9">
        <v>24</v>
      </c>
      <c r="O159" s="9">
        <v>-5</v>
      </c>
      <c r="P159" s="9">
        <f t="shared" si="4"/>
        <v>68.474999999999994</v>
      </c>
      <c r="Q159" s="9" t="s">
        <v>319</v>
      </c>
    </row>
    <row r="160" spans="1:17" s="9" customFormat="1" x14ac:dyDescent="0.25">
      <c r="A160" s="9" t="s">
        <v>326</v>
      </c>
      <c r="B160" s="9" t="s">
        <v>327</v>
      </c>
      <c r="C160" s="9">
        <v>122020184</v>
      </c>
      <c r="D160" s="9" t="s">
        <v>24</v>
      </c>
      <c r="E160" s="20">
        <v>45998.469594907401</v>
      </c>
      <c r="F160" s="9" t="s">
        <v>18</v>
      </c>
      <c r="H160" s="9">
        <v>357</v>
      </c>
      <c r="J160" s="9">
        <v>90</v>
      </c>
      <c r="K160" s="9">
        <v>99</v>
      </c>
      <c r="L160" s="9">
        <v>0</v>
      </c>
      <c r="M160" s="9">
        <v>100</v>
      </c>
      <c r="N160" s="9">
        <v>68</v>
      </c>
      <c r="O160" s="9">
        <v>-5</v>
      </c>
      <c r="P160" s="9">
        <f t="shared" si="4"/>
        <v>67.575000000000003</v>
      </c>
      <c r="Q160" s="9" t="s">
        <v>319</v>
      </c>
    </row>
    <row r="161" spans="1:17" s="9" customFormat="1" x14ac:dyDescent="0.25">
      <c r="A161" s="9" t="s">
        <v>328</v>
      </c>
      <c r="B161" s="9" t="s">
        <v>329</v>
      </c>
      <c r="C161" s="9">
        <v>122090814</v>
      </c>
      <c r="D161" s="9" t="s">
        <v>24</v>
      </c>
      <c r="E161" s="20">
        <v>45998.447268518503</v>
      </c>
      <c r="F161" s="9" t="s">
        <v>18</v>
      </c>
      <c r="H161" s="9">
        <v>334</v>
      </c>
      <c r="J161" s="9">
        <v>40</v>
      </c>
      <c r="K161" s="9">
        <v>100</v>
      </c>
      <c r="L161" s="9">
        <v>96</v>
      </c>
      <c r="M161" s="9">
        <v>58</v>
      </c>
      <c r="N161" s="9">
        <v>40</v>
      </c>
      <c r="O161" s="9">
        <v>0</v>
      </c>
      <c r="P161" s="9">
        <f t="shared" si="4"/>
        <v>66.45</v>
      </c>
      <c r="Q161" s="9" t="s">
        <v>319</v>
      </c>
    </row>
    <row r="162" spans="1:17" s="9" customFormat="1" x14ac:dyDescent="0.25">
      <c r="A162" s="9" t="s">
        <v>330</v>
      </c>
      <c r="B162" s="9" t="s">
        <v>331</v>
      </c>
      <c r="C162" s="9">
        <v>122090907</v>
      </c>
      <c r="D162" s="9" t="s">
        <v>24</v>
      </c>
      <c r="E162" s="20">
        <v>46014.642303240696</v>
      </c>
      <c r="F162" s="9" t="s">
        <v>18</v>
      </c>
      <c r="H162" s="9">
        <v>345</v>
      </c>
      <c r="J162" s="9">
        <v>80</v>
      </c>
      <c r="K162" s="9">
        <v>95</v>
      </c>
      <c r="L162" s="9">
        <v>0</v>
      </c>
      <c r="M162" s="9">
        <v>100</v>
      </c>
      <c r="N162" s="9">
        <v>70</v>
      </c>
      <c r="O162" s="9">
        <v>-5</v>
      </c>
      <c r="P162" s="9">
        <f t="shared" ref="P162:P193" si="5">MIN(SUM(J162:M162),400)/4*0.7+I162+N162*0.25+5+O162</f>
        <v>65.625</v>
      </c>
      <c r="Q162" s="9" t="s">
        <v>319</v>
      </c>
    </row>
    <row r="163" spans="1:17" s="3" customFormat="1" x14ac:dyDescent="0.25">
      <c r="A163" s="3" t="s">
        <v>332</v>
      </c>
      <c r="B163" s="3" t="s">
        <v>333</v>
      </c>
      <c r="C163" s="3">
        <v>120040074</v>
      </c>
      <c r="E163" s="14">
        <v>46014.667303240698</v>
      </c>
      <c r="F163" s="3" t="s">
        <v>18</v>
      </c>
      <c r="H163" s="3">
        <v>341</v>
      </c>
      <c r="K163" s="3">
        <v>70</v>
      </c>
      <c r="L163" s="3">
        <v>91</v>
      </c>
      <c r="M163" s="3">
        <v>110</v>
      </c>
      <c r="N163" s="3">
        <v>70</v>
      </c>
      <c r="O163" s="3">
        <v>-5</v>
      </c>
      <c r="P163" s="3">
        <f t="shared" si="5"/>
        <v>64.924999999999997</v>
      </c>
      <c r="Q163" s="3" t="s">
        <v>334</v>
      </c>
    </row>
    <row r="164" spans="1:17" s="3" customFormat="1" x14ac:dyDescent="0.25">
      <c r="A164" s="3" t="s">
        <v>335</v>
      </c>
      <c r="B164" s="3" t="s">
        <v>336</v>
      </c>
      <c r="C164" s="3">
        <v>122030060</v>
      </c>
      <c r="D164" s="3" t="s">
        <v>24</v>
      </c>
      <c r="E164" s="14">
        <v>45998.4676736111</v>
      </c>
      <c r="F164" s="3" t="s">
        <v>18</v>
      </c>
      <c r="H164" s="3">
        <v>327</v>
      </c>
      <c r="J164" s="3">
        <v>29</v>
      </c>
      <c r="K164" s="3">
        <v>95</v>
      </c>
      <c r="L164" s="3">
        <v>60</v>
      </c>
      <c r="M164" s="3">
        <v>110</v>
      </c>
      <c r="N164" s="3">
        <v>33</v>
      </c>
      <c r="O164" s="3">
        <v>0</v>
      </c>
      <c r="P164" s="3">
        <f t="shared" si="5"/>
        <v>64.7</v>
      </c>
      <c r="Q164" s="3" t="s">
        <v>334</v>
      </c>
    </row>
    <row r="165" spans="1:17" s="3" customFormat="1" x14ac:dyDescent="0.25">
      <c r="A165" s="3" t="s">
        <v>337</v>
      </c>
      <c r="B165" s="3" t="s">
        <v>338</v>
      </c>
      <c r="C165" s="3">
        <v>121090512</v>
      </c>
      <c r="E165" s="14">
        <v>45998.403622685197</v>
      </c>
      <c r="F165" s="3" t="s">
        <v>18</v>
      </c>
      <c r="H165" s="3">
        <v>328</v>
      </c>
      <c r="J165" s="3">
        <v>75</v>
      </c>
      <c r="K165" s="3">
        <v>25</v>
      </c>
      <c r="L165" s="3">
        <v>89</v>
      </c>
      <c r="M165" s="3">
        <v>110</v>
      </c>
      <c r="N165" s="3">
        <v>29</v>
      </c>
      <c r="O165" s="3">
        <v>0</v>
      </c>
      <c r="P165" s="3">
        <f t="shared" si="5"/>
        <v>64.575000000000003</v>
      </c>
      <c r="Q165" s="3" t="s">
        <v>334</v>
      </c>
    </row>
    <row r="166" spans="1:17" s="3" customFormat="1" x14ac:dyDescent="0.25">
      <c r="A166" s="3" t="s">
        <v>339</v>
      </c>
      <c r="B166" s="3" t="s">
        <v>340</v>
      </c>
      <c r="C166" s="3">
        <v>122090810</v>
      </c>
      <c r="D166" s="3" t="s">
        <v>24</v>
      </c>
      <c r="E166" s="14">
        <v>45997.723877314798</v>
      </c>
      <c r="F166" s="3" t="s">
        <v>18</v>
      </c>
      <c r="H166" s="3">
        <v>323</v>
      </c>
      <c r="J166" s="3">
        <v>85</v>
      </c>
      <c r="K166" s="3">
        <v>100</v>
      </c>
      <c r="L166" s="3">
        <v>98</v>
      </c>
      <c r="N166" s="3">
        <v>40</v>
      </c>
      <c r="O166" s="3">
        <v>0</v>
      </c>
      <c r="P166" s="3">
        <f t="shared" si="5"/>
        <v>64.525000000000006</v>
      </c>
      <c r="Q166" s="3" t="s">
        <v>334</v>
      </c>
    </row>
    <row r="167" spans="1:17" s="3" customFormat="1" x14ac:dyDescent="0.25">
      <c r="A167" s="3" t="s">
        <v>341</v>
      </c>
      <c r="B167" s="3" t="s">
        <v>342</v>
      </c>
      <c r="C167" s="3">
        <v>122090493</v>
      </c>
      <c r="D167" s="3" t="s">
        <v>24</v>
      </c>
      <c r="E167" s="14">
        <v>46014.628287036998</v>
      </c>
      <c r="F167" s="3" t="s">
        <v>18</v>
      </c>
      <c r="H167" s="3">
        <v>325</v>
      </c>
      <c r="J167" s="3">
        <v>90</v>
      </c>
      <c r="K167" s="3">
        <v>90</v>
      </c>
      <c r="L167" s="3">
        <v>0</v>
      </c>
      <c r="M167" s="3">
        <v>110</v>
      </c>
      <c r="N167" s="3">
        <v>35</v>
      </c>
      <c r="O167" s="3">
        <v>0</v>
      </c>
      <c r="P167" s="3">
        <f t="shared" si="5"/>
        <v>64.5</v>
      </c>
      <c r="Q167" s="3" t="s">
        <v>334</v>
      </c>
    </row>
    <row r="168" spans="1:17" s="3" customFormat="1" x14ac:dyDescent="0.25">
      <c r="A168" s="3" t="s">
        <v>343</v>
      </c>
      <c r="B168" s="3" t="s">
        <v>344</v>
      </c>
      <c r="C168" s="3">
        <v>122040054</v>
      </c>
      <c r="D168" s="3" t="s">
        <v>24</v>
      </c>
      <c r="E168" s="14">
        <v>45998.407094907401</v>
      </c>
      <c r="F168" s="3" t="s">
        <v>18</v>
      </c>
      <c r="H168" s="3">
        <v>346</v>
      </c>
      <c r="J168" s="3">
        <v>90</v>
      </c>
      <c r="K168" s="3">
        <v>95</v>
      </c>
      <c r="L168" s="3">
        <v>15</v>
      </c>
      <c r="M168" s="3">
        <v>100</v>
      </c>
      <c r="N168" s="3">
        <v>46</v>
      </c>
      <c r="O168" s="3">
        <v>-5</v>
      </c>
      <c r="P168" s="3">
        <f t="shared" si="5"/>
        <v>64</v>
      </c>
      <c r="Q168" s="3" t="s">
        <v>334</v>
      </c>
    </row>
    <row r="169" spans="1:17" s="3" customFormat="1" x14ac:dyDescent="0.25">
      <c r="A169" s="3" t="s">
        <v>345</v>
      </c>
      <c r="B169" s="3" t="s">
        <v>346</v>
      </c>
      <c r="C169" s="3">
        <v>123090343</v>
      </c>
      <c r="E169" s="14">
        <v>46014.522037037001</v>
      </c>
      <c r="F169" s="3" t="s">
        <v>18</v>
      </c>
      <c r="H169" s="3">
        <v>321</v>
      </c>
      <c r="J169" s="3">
        <v>100</v>
      </c>
      <c r="K169" s="3">
        <v>100</v>
      </c>
      <c r="L169" s="3">
        <v>89</v>
      </c>
      <c r="N169" s="3">
        <v>32</v>
      </c>
      <c r="O169" s="3">
        <v>0</v>
      </c>
      <c r="P169" s="3">
        <f t="shared" si="5"/>
        <v>63.575000000000003</v>
      </c>
      <c r="Q169" s="3" t="s">
        <v>334</v>
      </c>
    </row>
    <row r="170" spans="1:17" s="3" customFormat="1" x14ac:dyDescent="0.25">
      <c r="A170" s="3" t="s">
        <v>347</v>
      </c>
      <c r="B170" s="3" t="s">
        <v>348</v>
      </c>
      <c r="C170" s="3">
        <v>122090330</v>
      </c>
      <c r="D170" s="3" t="s">
        <v>24</v>
      </c>
      <c r="E170" s="14">
        <v>46014.633969907401</v>
      </c>
      <c r="F170" s="3" t="s">
        <v>18</v>
      </c>
      <c r="H170" s="3">
        <v>305</v>
      </c>
      <c r="J170" s="3">
        <v>29</v>
      </c>
      <c r="K170" s="3">
        <v>80</v>
      </c>
      <c r="L170" s="3">
        <v>104</v>
      </c>
      <c r="M170" s="3">
        <v>25</v>
      </c>
      <c r="N170" s="3">
        <v>67</v>
      </c>
      <c r="O170" s="3">
        <v>0</v>
      </c>
      <c r="P170" s="3">
        <f t="shared" si="5"/>
        <v>63.4</v>
      </c>
      <c r="Q170" s="3" t="s">
        <v>334</v>
      </c>
    </row>
    <row r="171" spans="1:17" s="3" customFormat="1" x14ac:dyDescent="0.25">
      <c r="A171" s="3" t="s">
        <v>349</v>
      </c>
      <c r="B171" s="3" t="s">
        <v>350</v>
      </c>
      <c r="C171" s="3">
        <v>121090626</v>
      </c>
      <c r="E171" s="14">
        <v>45998.398229166698</v>
      </c>
      <c r="F171" s="3" t="s">
        <v>18</v>
      </c>
      <c r="H171" s="3">
        <v>335</v>
      </c>
      <c r="J171" s="3">
        <v>94</v>
      </c>
      <c r="K171" s="3">
        <v>100</v>
      </c>
      <c r="L171" s="3">
        <v>98</v>
      </c>
      <c r="N171" s="3">
        <v>43</v>
      </c>
      <c r="O171" s="3">
        <v>-5</v>
      </c>
      <c r="P171" s="3">
        <f t="shared" si="5"/>
        <v>61.85</v>
      </c>
      <c r="Q171" s="3" t="s">
        <v>334</v>
      </c>
    </row>
    <row r="172" spans="1:17" s="3" customFormat="1" x14ac:dyDescent="0.25">
      <c r="A172" s="3" t="s">
        <v>351</v>
      </c>
      <c r="B172" s="3" t="s">
        <v>352</v>
      </c>
      <c r="C172" s="3">
        <v>123090306</v>
      </c>
      <c r="E172" s="14">
        <v>46013.624120370398</v>
      </c>
      <c r="F172" s="3" t="s">
        <v>18</v>
      </c>
      <c r="H172" s="3">
        <v>341</v>
      </c>
      <c r="J172" s="3">
        <v>10</v>
      </c>
      <c r="K172" s="3">
        <v>95</v>
      </c>
      <c r="L172" s="3">
        <v>100</v>
      </c>
      <c r="M172" s="3">
        <v>110</v>
      </c>
      <c r="N172" s="3">
        <v>26</v>
      </c>
      <c r="O172" s="3">
        <v>-5</v>
      </c>
      <c r="P172" s="3">
        <f t="shared" si="5"/>
        <v>61.625</v>
      </c>
      <c r="Q172" s="3" t="s">
        <v>334</v>
      </c>
    </row>
    <row r="173" spans="1:17" s="3" customFormat="1" x14ac:dyDescent="0.25">
      <c r="A173" s="3" t="s">
        <v>353</v>
      </c>
      <c r="B173" s="3" t="s">
        <v>354</v>
      </c>
      <c r="C173" s="3">
        <v>123090057</v>
      </c>
      <c r="E173" s="14">
        <v>45997.888460648202</v>
      </c>
      <c r="F173" s="3" t="s">
        <v>18</v>
      </c>
      <c r="H173" s="3">
        <v>289</v>
      </c>
      <c r="J173" s="3">
        <v>90</v>
      </c>
      <c r="K173" s="3">
        <v>25</v>
      </c>
      <c r="L173" s="3">
        <v>100</v>
      </c>
      <c r="M173" s="3">
        <v>10</v>
      </c>
      <c r="N173" s="3">
        <v>64</v>
      </c>
      <c r="O173" s="3">
        <v>0</v>
      </c>
      <c r="P173" s="3">
        <f t="shared" si="5"/>
        <v>60.375</v>
      </c>
      <c r="Q173" s="3" t="s">
        <v>334</v>
      </c>
    </row>
    <row r="174" spans="1:17" s="10" customFormat="1" x14ac:dyDescent="0.25">
      <c r="A174" s="10" t="s">
        <v>355</v>
      </c>
      <c r="B174" s="10" t="s">
        <v>356</v>
      </c>
      <c r="C174" s="10">
        <v>122040069</v>
      </c>
      <c r="D174" s="10" t="s">
        <v>24</v>
      </c>
      <c r="E174" s="21">
        <v>46004.5229861111</v>
      </c>
      <c r="F174" s="10" t="s">
        <v>18</v>
      </c>
      <c r="H174" s="10">
        <v>329</v>
      </c>
      <c r="J174" s="10">
        <v>90</v>
      </c>
      <c r="K174" s="10">
        <v>0</v>
      </c>
      <c r="L174" s="10">
        <v>98</v>
      </c>
      <c r="M174" s="10">
        <v>110</v>
      </c>
      <c r="N174" s="10">
        <v>31</v>
      </c>
      <c r="O174" s="10">
        <v>-5</v>
      </c>
      <c r="P174" s="10">
        <f t="shared" si="5"/>
        <v>59.9</v>
      </c>
      <c r="Q174" s="10" t="s">
        <v>357</v>
      </c>
    </row>
    <row r="175" spans="1:17" s="10" customFormat="1" x14ac:dyDescent="0.25">
      <c r="A175" s="10" t="s">
        <v>358</v>
      </c>
      <c r="B175" s="10" t="s">
        <v>359</v>
      </c>
      <c r="C175" s="10">
        <v>120090855</v>
      </c>
      <c r="E175" s="21">
        <v>46014.530497685198</v>
      </c>
      <c r="F175" s="10" t="s">
        <v>18</v>
      </c>
      <c r="H175" s="10">
        <v>286</v>
      </c>
      <c r="J175" s="10">
        <v>89</v>
      </c>
      <c r="K175" s="10">
        <v>0</v>
      </c>
      <c r="L175" s="10">
        <v>100</v>
      </c>
      <c r="M175" s="10">
        <v>60</v>
      </c>
      <c r="N175" s="10">
        <v>37</v>
      </c>
      <c r="O175" s="10">
        <v>0</v>
      </c>
      <c r="P175" s="10">
        <f t="shared" si="5"/>
        <v>57.825000000000003</v>
      </c>
      <c r="Q175" s="10" t="s">
        <v>357</v>
      </c>
    </row>
    <row r="176" spans="1:17" s="10" customFormat="1" x14ac:dyDescent="0.25">
      <c r="A176" s="10" t="s">
        <v>360</v>
      </c>
      <c r="B176" s="10" t="s">
        <v>361</v>
      </c>
      <c r="C176" s="10">
        <v>122090715</v>
      </c>
      <c r="D176" s="10" t="s">
        <v>24</v>
      </c>
      <c r="E176" s="21">
        <v>46013.792129629597</v>
      </c>
      <c r="F176" s="10" t="s">
        <v>18</v>
      </c>
      <c r="H176" s="10">
        <v>296</v>
      </c>
      <c r="J176" s="10">
        <v>30</v>
      </c>
      <c r="K176" s="10">
        <v>98</v>
      </c>
      <c r="L176" s="10">
        <v>96</v>
      </c>
      <c r="N176" s="10">
        <v>72</v>
      </c>
      <c r="O176" s="10">
        <v>-5</v>
      </c>
      <c r="P176" s="10">
        <f t="shared" si="5"/>
        <v>57.2</v>
      </c>
      <c r="Q176" s="10" t="s">
        <v>357</v>
      </c>
    </row>
    <row r="177" spans="1:17" s="10" customFormat="1" x14ac:dyDescent="0.25">
      <c r="A177" s="10" t="s">
        <v>362</v>
      </c>
      <c r="B177" s="10" t="s">
        <v>363</v>
      </c>
      <c r="C177" s="10">
        <v>123090847</v>
      </c>
      <c r="E177" s="21">
        <v>45997.864560185197</v>
      </c>
      <c r="F177" s="10" t="s">
        <v>18</v>
      </c>
      <c r="H177" s="10">
        <v>281</v>
      </c>
      <c r="J177" s="10">
        <v>65</v>
      </c>
      <c r="K177" s="10">
        <v>90</v>
      </c>
      <c r="L177" s="10">
        <v>88</v>
      </c>
      <c r="M177" s="10">
        <v>0</v>
      </c>
      <c r="N177" s="10">
        <v>38</v>
      </c>
      <c r="O177" s="10">
        <v>-5</v>
      </c>
      <c r="P177" s="10">
        <f t="shared" si="5"/>
        <v>52.024999999999999</v>
      </c>
      <c r="Q177" s="10" t="s">
        <v>357</v>
      </c>
    </row>
    <row r="178" spans="1:17" s="10" customFormat="1" x14ac:dyDescent="0.25">
      <c r="A178" s="10" t="s">
        <v>364</v>
      </c>
      <c r="B178" s="10" t="s">
        <v>365</v>
      </c>
      <c r="C178" s="10">
        <v>123020173</v>
      </c>
      <c r="E178" s="21">
        <v>45998.483379629601</v>
      </c>
      <c r="F178" s="10" t="s">
        <v>18</v>
      </c>
      <c r="H178" s="10">
        <v>266</v>
      </c>
      <c r="J178" s="10">
        <v>30</v>
      </c>
      <c r="K178" s="10">
        <v>100</v>
      </c>
      <c r="L178" s="10">
        <v>97</v>
      </c>
      <c r="M178" s="10">
        <v>0</v>
      </c>
      <c r="N178" s="10">
        <v>39</v>
      </c>
      <c r="O178" s="10">
        <v>-5</v>
      </c>
      <c r="P178" s="10">
        <f t="shared" si="5"/>
        <v>49.475000000000001</v>
      </c>
      <c r="Q178" s="10" t="s">
        <v>357</v>
      </c>
    </row>
    <row r="179" spans="1:17" s="10" customFormat="1" x14ac:dyDescent="0.25">
      <c r="A179" s="10" t="s">
        <v>366</v>
      </c>
      <c r="B179" s="10" t="s">
        <v>367</v>
      </c>
      <c r="C179" s="10">
        <v>123090707</v>
      </c>
      <c r="E179" s="21">
        <v>45997.746793981503</v>
      </c>
      <c r="F179" s="10" t="s">
        <v>18</v>
      </c>
      <c r="H179" s="10">
        <v>266</v>
      </c>
      <c r="J179" s="10">
        <v>29</v>
      </c>
      <c r="K179" s="10">
        <v>0</v>
      </c>
      <c r="L179" s="10">
        <v>95</v>
      </c>
      <c r="M179" s="10">
        <v>110</v>
      </c>
      <c r="N179" s="10">
        <v>32</v>
      </c>
      <c r="O179" s="10">
        <v>-5</v>
      </c>
      <c r="P179" s="10">
        <f t="shared" si="5"/>
        <v>48.95</v>
      </c>
      <c r="Q179" s="10" t="s">
        <v>357</v>
      </c>
    </row>
    <row r="180" spans="1:17" s="10" customFormat="1" x14ac:dyDescent="0.25">
      <c r="A180" s="10" t="s">
        <v>368</v>
      </c>
      <c r="B180" s="10" t="s">
        <v>369</v>
      </c>
      <c r="C180" s="10">
        <v>121090528</v>
      </c>
      <c r="E180" s="21">
        <v>46014.403414351902</v>
      </c>
      <c r="F180" s="10" t="s">
        <v>18</v>
      </c>
      <c r="H180" s="10">
        <v>222</v>
      </c>
      <c r="J180" s="10">
        <v>40</v>
      </c>
      <c r="K180" s="10">
        <v>100</v>
      </c>
      <c r="L180" s="10">
        <v>15</v>
      </c>
      <c r="M180" s="10">
        <v>0</v>
      </c>
      <c r="N180" s="10">
        <v>67</v>
      </c>
      <c r="O180" s="10">
        <v>0</v>
      </c>
      <c r="P180" s="10">
        <f t="shared" si="5"/>
        <v>48.875</v>
      </c>
      <c r="Q180" s="10" t="s">
        <v>357</v>
      </c>
    </row>
    <row r="181" spans="1:17" s="10" customFormat="1" x14ac:dyDescent="0.25">
      <c r="A181" s="10" t="s">
        <v>370</v>
      </c>
      <c r="B181" s="10" t="s">
        <v>371</v>
      </c>
      <c r="C181" s="10">
        <v>123090156</v>
      </c>
      <c r="E181" s="21">
        <v>45998.495451388902</v>
      </c>
      <c r="F181" s="10" t="s">
        <v>18</v>
      </c>
      <c r="H181" s="10">
        <v>243</v>
      </c>
      <c r="J181" s="10">
        <v>70</v>
      </c>
      <c r="K181" s="10">
        <v>80</v>
      </c>
      <c r="L181" s="10">
        <v>80</v>
      </c>
      <c r="N181" s="10">
        <v>13</v>
      </c>
      <c r="O181" s="10">
        <v>0</v>
      </c>
      <c r="P181" s="10">
        <f t="shared" si="5"/>
        <v>48.5</v>
      </c>
      <c r="Q181" s="10" t="s">
        <v>357</v>
      </c>
    </row>
    <row r="182" spans="1:17" s="10" customFormat="1" x14ac:dyDescent="0.25">
      <c r="A182" s="10" t="s">
        <v>372</v>
      </c>
      <c r="B182" s="10" t="s">
        <v>119</v>
      </c>
      <c r="C182" s="10">
        <v>122040008</v>
      </c>
      <c r="E182" s="21">
        <v>46007.751157407401</v>
      </c>
      <c r="F182" s="10" t="s">
        <v>18</v>
      </c>
      <c r="H182" s="10">
        <v>259</v>
      </c>
      <c r="J182" s="10">
        <v>49</v>
      </c>
      <c r="K182" s="10">
        <v>95</v>
      </c>
      <c r="L182" s="10">
        <v>66</v>
      </c>
      <c r="M182" s="10">
        <v>10</v>
      </c>
      <c r="N182" s="10">
        <v>39</v>
      </c>
      <c r="O182" s="10">
        <v>-5</v>
      </c>
      <c r="P182" s="10">
        <f t="shared" si="5"/>
        <v>48.25</v>
      </c>
      <c r="Q182" s="10" t="s">
        <v>357</v>
      </c>
    </row>
    <row r="183" spans="1:17" s="11" customFormat="1" x14ac:dyDescent="0.25">
      <c r="A183" s="11" t="s">
        <v>373</v>
      </c>
      <c r="B183" s="11" t="s">
        <v>374</v>
      </c>
      <c r="C183" s="11">
        <v>121040087</v>
      </c>
      <c r="E183" s="22">
        <v>46014.626331018502</v>
      </c>
      <c r="F183" s="11" t="s">
        <v>18</v>
      </c>
      <c r="H183" s="11">
        <v>235</v>
      </c>
      <c r="J183" s="11">
        <v>30</v>
      </c>
      <c r="K183" s="11">
        <v>80</v>
      </c>
      <c r="L183" s="11">
        <v>95</v>
      </c>
      <c r="M183" s="11">
        <v>10</v>
      </c>
      <c r="N183" s="11">
        <v>20</v>
      </c>
      <c r="O183" s="11">
        <v>-5</v>
      </c>
      <c r="P183" s="11">
        <f t="shared" si="5"/>
        <v>42.625</v>
      </c>
      <c r="Q183" s="11" t="s">
        <v>375</v>
      </c>
    </row>
    <row r="184" spans="1:17" s="11" customFormat="1" x14ac:dyDescent="0.25">
      <c r="A184" s="11" t="s">
        <v>376</v>
      </c>
      <c r="B184" s="11" t="s">
        <v>377</v>
      </c>
      <c r="C184" s="11">
        <v>123090882</v>
      </c>
      <c r="E184" s="22">
        <v>45998.323657407404</v>
      </c>
      <c r="F184" s="11" t="s">
        <v>18</v>
      </c>
      <c r="H184" s="11">
        <v>218</v>
      </c>
      <c r="J184" s="11">
        <v>70</v>
      </c>
      <c r="K184" s="11">
        <v>0</v>
      </c>
      <c r="L184" s="11">
        <v>15</v>
      </c>
      <c r="M184" s="11">
        <v>106</v>
      </c>
      <c r="N184" s="11">
        <v>27</v>
      </c>
      <c r="O184" s="11">
        <v>-5</v>
      </c>
      <c r="P184" s="11">
        <f t="shared" si="5"/>
        <v>40.174999999999997</v>
      </c>
      <c r="Q184" s="11" t="s">
        <v>375</v>
      </c>
    </row>
    <row r="185" spans="1:17" s="11" customFormat="1" x14ac:dyDescent="0.25">
      <c r="A185" s="11" t="s">
        <v>378</v>
      </c>
      <c r="B185" s="11" t="s">
        <v>379</v>
      </c>
      <c r="C185" s="11">
        <v>122090131</v>
      </c>
      <c r="D185" s="11" t="s">
        <v>24</v>
      </c>
      <c r="E185" s="22">
        <v>45997.6881712963</v>
      </c>
      <c r="F185" s="11" t="s">
        <v>18</v>
      </c>
      <c r="H185" s="11">
        <v>187</v>
      </c>
      <c r="J185" s="11">
        <v>45</v>
      </c>
      <c r="K185" s="11">
        <v>100</v>
      </c>
      <c r="M185" s="11">
        <v>10</v>
      </c>
      <c r="N185" s="11">
        <v>32</v>
      </c>
      <c r="O185" s="11">
        <v>0</v>
      </c>
      <c r="P185" s="11">
        <f t="shared" si="5"/>
        <v>40.125</v>
      </c>
      <c r="Q185" s="11" t="s">
        <v>375</v>
      </c>
    </row>
    <row r="186" spans="1:17" s="11" customFormat="1" x14ac:dyDescent="0.25">
      <c r="A186" s="11" t="s">
        <v>380</v>
      </c>
      <c r="B186" s="11" t="s">
        <v>381</v>
      </c>
      <c r="C186" s="11">
        <v>122010061</v>
      </c>
      <c r="D186" s="11" t="s">
        <v>24</v>
      </c>
      <c r="E186" s="22">
        <v>45998.620925925898</v>
      </c>
      <c r="F186" s="11" t="s">
        <v>18</v>
      </c>
      <c r="H186" s="11">
        <v>184</v>
      </c>
      <c r="J186" s="11">
        <v>79</v>
      </c>
      <c r="K186" s="11">
        <v>70</v>
      </c>
      <c r="M186" s="11">
        <v>0</v>
      </c>
      <c r="N186" s="11">
        <v>35</v>
      </c>
      <c r="O186" s="11">
        <v>0</v>
      </c>
      <c r="P186" s="11">
        <f t="shared" si="5"/>
        <v>39.825000000000003</v>
      </c>
      <c r="Q186" s="11" t="s">
        <v>375</v>
      </c>
    </row>
    <row r="187" spans="1:17" s="11" customFormat="1" x14ac:dyDescent="0.25">
      <c r="A187" s="11" t="s">
        <v>382</v>
      </c>
      <c r="B187" s="11" t="s">
        <v>383</v>
      </c>
      <c r="C187" s="11">
        <v>122090126</v>
      </c>
      <c r="D187" s="11" t="s">
        <v>24</v>
      </c>
      <c r="E187" s="22">
        <v>45998.420185185198</v>
      </c>
      <c r="F187" s="11" t="s">
        <v>18</v>
      </c>
      <c r="H187" s="11">
        <v>151</v>
      </c>
      <c r="J187" s="11">
        <v>30</v>
      </c>
      <c r="K187" s="11">
        <v>25</v>
      </c>
      <c r="L187" s="11">
        <v>75</v>
      </c>
      <c r="M187" s="11">
        <v>0</v>
      </c>
      <c r="N187" s="11">
        <v>21</v>
      </c>
      <c r="O187" s="11">
        <v>0</v>
      </c>
      <c r="P187" s="11">
        <f t="shared" si="5"/>
        <v>33</v>
      </c>
      <c r="Q187" s="11" t="s">
        <v>375</v>
      </c>
    </row>
    <row r="188" spans="1:17" s="11" customFormat="1" x14ac:dyDescent="0.25">
      <c r="A188" s="11" t="s">
        <v>384</v>
      </c>
      <c r="B188" s="11" t="s">
        <v>385</v>
      </c>
      <c r="C188" s="11">
        <v>121040076</v>
      </c>
      <c r="E188" s="22">
        <v>45998.487546296303</v>
      </c>
      <c r="F188" s="11" t="s">
        <v>18</v>
      </c>
      <c r="H188" s="11">
        <v>116</v>
      </c>
      <c r="J188" s="11">
        <v>30</v>
      </c>
      <c r="K188" s="11">
        <v>76</v>
      </c>
      <c r="N188" s="11">
        <v>10</v>
      </c>
      <c r="O188" s="11">
        <v>-5</v>
      </c>
      <c r="P188" s="11">
        <f t="shared" si="5"/>
        <v>21.05</v>
      </c>
      <c r="Q188" s="11" t="s">
        <v>375</v>
      </c>
    </row>
    <row r="189" spans="1:17" s="11" customFormat="1" x14ac:dyDescent="0.25">
      <c r="A189" s="11" t="s">
        <v>386</v>
      </c>
      <c r="B189" s="11" t="s">
        <v>387</v>
      </c>
      <c r="C189" s="11">
        <v>123090427</v>
      </c>
      <c r="E189" s="22">
        <v>45998.488344907397</v>
      </c>
      <c r="F189" s="11" t="s">
        <v>18</v>
      </c>
      <c r="H189" s="11">
        <v>19</v>
      </c>
      <c r="L189" s="11">
        <v>0</v>
      </c>
      <c r="M189" s="11">
        <v>0</v>
      </c>
      <c r="N189" s="11">
        <v>19</v>
      </c>
      <c r="O189" s="11">
        <v>-5</v>
      </c>
      <c r="P189" s="11">
        <f t="shared" si="5"/>
        <v>4.75</v>
      </c>
      <c r="Q189" s="11" t="s">
        <v>375</v>
      </c>
    </row>
    <row r="190" spans="1:17" s="11" customFormat="1" x14ac:dyDescent="0.25">
      <c r="A190" s="11" t="s">
        <v>388</v>
      </c>
      <c r="B190" s="11" t="s">
        <v>389</v>
      </c>
      <c r="C190" s="11">
        <v>123090016</v>
      </c>
      <c r="E190" s="22">
        <v>46006.004976851902</v>
      </c>
      <c r="F190" s="11" t="s">
        <v>18</v>
      </c>
      <c r="H190" s="11">
        <v>8</v>
      </c>
      <c r="N190" s="11">
        <v>8</v>
      </c>
      <c r="O190" s="11">
        <v>-5</v>
      </c>
      <c r="P190" s="11">
        <f t="shared" si="5"/>
        <v>2</v>
      </c>
      <c r="Q190" s="11" t="s">
        <v>375</v>
      </c>
    </row>
    <row r="191" spans="1:17" s="11" customFormat="1" x14ac:dyDescent="0.25">
      <c r="A191" s="11" t="s">
        <v>390</v>
      </c>
      <c r="B191" s="11" t="s">
        <v>391</v>
      </c>
      <c r="C191" s="11">
        <v>122090877</v>
      </c>
      <c r="D191" s="11" t="s">
        <v>24</v>
      </c>
      <c r="E191" s="22">
        <v>45908.858194444401</v>
      </c>
      <c r="F191" s="11" t="s">
        <v>18</v>
      </c>
      <c r="O191" s="11">
        <v>-5</v>
      </c>
      <c r="P191" s="11">
        <f t="shared" si="5"/>
        <v>0</v>
      </c>
      <c r="Q191" s="11" t="s">
        <v>375</v>
      </c>
    </row>
    <row r="192" spans="1:17" s="11" customFormat="1" x14ac:dyDescent="0.25">
      <c r="A192" s="11" t="s">
        <v>392</v>
      </c>
      <c r="B192" s="11" t="s">
        <v>393</v>
      </c>
      <c r="C192" s="11">
        <v>123090202</v>
      </c>
      <c r="E192" s="22">
        <v>46014.673425925903</v>
      </c>
      <c r="F192" s="11" t="s">
        <v>18</v>
      </c>
      <c r="O192" s="11">
        <v>-5</v>
      </c>
      <c r="P192" s="11">
        <f t="shared" si="5"/>
        <v>0</v>
      </c>
      <c r="Q192" s="11" t="s">
        <v>375</v>
      </c>
    </row>
    <row r="193" spans="1:17" s="11" customFormat="1" x14ac:dyDescent="0.25">
      <c r="A193" s="11" t="s">
        <v>394</v>
      </c>
      <c r="B193" s="11" t="s">
        <v>395</v>
      </c>
      <c r="C193" s="11">
        <v>122090275</v>
      </c>
      <c r="D193" s="11" t="s">
        <v>24</v>
      </c>
      <c r="E193" s="22">
        <v>46002.702118055597</v>
      </c>
      <c r="F193" s="11" t="s">
        <v>18</v>
      </c>
      <c r="O193" s="11">
        <v>-5</v>
      </c>
      <c r="P193" s="11">
        <f t="shared" si="5"/>
        <v>0</v>
      </c>
      <c r="Q193" s="11" t="s">
        <v>375</v>
      </c>
    </row>
    <row r="194" spans="1:17" s="11" customFormat="1" x14ac:dyDescent="0.25">
      <c r="A194" s="11" t="s">
        <v>396</v>
      </c>
      <c r="B194" s="11" t="s">
        <v>397</v>
      </c>
      <c r="C194" s="11">
        <v>120040082</v>
      </c>
      <c r="E194" s="22">
        <v>45975.813321759299</v>
      </c>
      <c r="F194" s="11" t="s">
        <v>18</v>
      </c>
      <c r="O194" s="11">
        <v>-5</v>
      </c>
      <c r="P194" s="11">
        <f t="shared" ref="P194:P225" si="6">MIN(SUM(J194:M194),400)/4*0.7+I194+N194*0.25+5+O194</f>
        <v>0</v>
      </c>
      <c r="Q194" s="11" t="s">
        <v>375</v>
      </c>
    </row>
    <row r="195" spans="1:17" x14ac:dyDescent="0.25">
      <c r="E195" s="23"/>
    </row>
    <row r="196" spans="1:17" x14ac:dyDescent="0.25">
      <c r="E196" s="23"/>
    </row>
    <row r="197" spans="1:17" x14ac:dyDescent="0.25">
      <c r="E197" s="23"/>
    </row>
    <row r="198" spans="1:17" x14ac:dyDescent="0.25">
      <c r="E198" s="23"/>
    </row>
    <row r="199" spans="1:17" x14ac:dyDescent="0.25">
      <c r="E199" s="23"/>
    </row>
    <row r="200" spans="1:17" x14ac:dyDescent="0.25">
      <c r="E200" s="23"/>
    </row>
    <row r="201" spans="1:17" x14ac:dyDescent="0.25">
      <c r="E201" s="23"/>
    </row>
    <row r="202" spans="1:17" x14ac:dyDescent="0.25">
      <c r="E202" s="23"/>
    </row>
    <row r="203" spans="1:17" x14ac:dyDescent="0.25">
      <c r="E203" s="23"/>
    </row>
    <row r="204" spans="1:17" x14ac:dyDescent="0.25">
      <c r="E204" s="23"/>
    </row>
    <row r="205" spans="1:17" x14ac:dyDescent="0.25">
      <c r="E205" s="23"/>
    </row>
  </sheetData>
  <sortState xmlns:xlrd2="http://schemas.microsoft.com/office/spreadsheetml/2017/richdata2" ref="A2:Q205">
    <sortCondition descending="1" ref="P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Yeh-Ching Chung</dc:creator>
  <cp:lastModifiedBy>Prof. Chung Yehching (SDS)</cp:lastModifiedBy>
  <dcterms:created xsi:type="dcterms:W3CDTF">2025-12-23T08:36:47Z</dcterms:created>
  <dcterms:modified xsi:type="dcterms:W3CDTF">2026-01-13T11:08:06Z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5EFCFAE0F8DC41368B0E6864F5915A7A_13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