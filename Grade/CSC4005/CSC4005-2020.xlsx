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5726"/>
  <workbookPr/>
  <mc:AlternateContent xmlns:mc="http://schemas.openxmlformats.org/markup-compatibility/2006">
    <mc:Choice Requires="x15">
      <x15ac:absPath xmlns:x15ac="http://schemas.microsoft.com/office/spreadsheetml/2010/11/ac" url="D:\HTML\Grade\CSC4005\"/>
    </mc:Choice>
  </mc:AlternateContent>
  <xr:revisionPtr revIDLastSave="0" documentId="8_{C94FBB15-58FF-469C-B4E7-6F0470FBC7A9}" xr6:coauthVersionLast="47" xr6:coauthVersionMax="47" xr10:uidLastSave="{00000000-0000-0000-0000-000000000000}"/>
  <bookViews>
    <workbookView xWindow="-103" yWindow="-103" windowWidth="16663" windowHeight="10492" xr2:uid="{00000000-000D-0000-FFFF-FFFF00000000}"/>
  </bookViews>
  <sheets>
    <sheet name="Sheet1" sheetId="1" r:id="rId1"/>
    <sheet name="Sheet2" sheetId="2" r:id="rId2"/>
  </sheets>
  <definedNames>
    <definedName name="_xlnm._FilterDatabase" localSheetId="0" hidden="1">Sheet1!$A$1:$K$121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N3" i="1" l="1"/>
  <c r="N4" i="1"/>
  <c r="N5" i="1"/>
  <c r="N6" i="1"/>
  <c r="N7" i="1"/>
  <c r="N8" i="1"/>
  <c r="N9" i="1"/>
  <c r="N10" i="1"/>
  <c r="N2" i="1"/>
  <c r="J76" i="1"/>
  <c r="J5" i="1"/>
  <c r="J82" i="1"/>
  <c r="J105" i="1"/>
  <c r="J58" i="1"/>
  <c r="J53" i="1"/>
  <c r="J40" i="1"/>
  <c r="J48" i="1"/>
  <c r="J109" i="1"/>
  <c r="J102" i="1"/>
  <c r="J39" i="1"/>
  <c r="J113" i="1"/>
  <c r="J99" i="1"/>
  <c r="J32" i="1"/>
  <c r="J43" i="1"/>
  <c r="J47" i="1"/>
  <c r="J2" i="1"/>
  <c r="J69" i="1"/>
  <c r="J90" i="1"/>
  <c r="J108" i="1"/>
  <c r="J60" i="1"/>
  <c r="J30" i="1"/>
  <c r="J117" i="1"/>
  <c r="J103" i="1"/>
  <c r="J61" i="1"/>
  <c r="J75" i="1"/>
  <c r="J35" i="1"/>
  <c r="J115" i="1"/>
  <c r="J49" i="1"/>
  <c r="J100" i="1"/>
  <c r="J14" i="1"/>
  <c r="J25" i="1"/>
  <c r="J104" i="1"/>
  <c r="J114" i="1"/>
  <c r="J118" i="1"/>
  <c r="J88" i="1"/>
  <c r="J112" i="1"/>
  <c r="J11" i="1"/>
  <c r="J59" i="1"/>
  <c r="J29" i="1"/>
  <c r="J106" i="1"/>
  <c r="J87" i="1"/>
  <c r="J54" i="1"/>
  <c r="J31" i="1"/>
  <c r="J68" i="1"/>
  <c r="J116" i="1"/>
  <c r="J63" i="1"/>
  <c r="J46" i="1"/>
  <c r="J94" i="1"/>
  <c r="J6" i="1"/>
  <c r="J28" i="1"/>
  <c r="J16" i="1"/>
  <c r="J64" i="1"/>
  <c r="J10" i="1"/>
  <c r="J66" i="1"/>
  <c r="J51" i="1"/>
  <c r="J62" i="1"/>
  <c r="J97" i="1"/>
  <c r="J27" i="1"/>
  <c r="J23" i="1"/>
  <c r="J70" i="1"/>
  <c r="J7" i="1"/>
  <c r="J55" i="1"/>
  <c r="J15" i="1"/>
  <c r="J13" i="1"/>
  <c r="J33" i="1"/>
  <c r="J92" i="1"/>
  <c r="J71" i="1"/>
  <c r="J74" i="1"/>
  <c r="J65" i="1"/>
  <c r="J26" i="1"/>
  <c r="J24" i="1"/>
  <c r="J79" i="1"/>
  <c r="J98" i="1"/>
  <c r="J56" i="1"/>
  <c r="J78" i="1"/>
  <c r="J93" i="1"/>
  <c r="J8" i="1"/>
  <c r="J9" i="1"/>
  <c r="J37" i="1"/>
  <c r="J67" i="1"/>
  <c r="J34" i="1"/>
  <c r="J107" i="1"/>
  <c r="J121" i="1"/>
  <c r="J85" i="1"/>
  <c r="J80" i="1"/>
  <c r="J41" i="1"/>
  <c r="J52" i="1"/>
  <c r="J22" i="1"/>
  <c r="J4" i="1"/>
  <c r="J73" i="1"/>
  <c r="J17" i="1"/>
  <c r="J120" i="1"/>
  <c r="J119" i="1"/>
  <c r="J77" i="1"/>
  <c r="J36" i="1"/>
  <c r="J44" i="1"/>
  <c r="J50" i="1"/>
  <c r="J84" i="1"/>
  <c r="J86" i="1"/>
  <c r="J72" i="1"/>
  <c r="J91" i="1"/>
  <c r="J81" i="1"/>
  <c r="J110" i="1"/>
  <c r="J89" i="1"/>
  <c r="J21" i="1"/>
  <c r="J3" i="1"/>
  <c r="J18" i="1"/>
  <c r="J95" i="1"/>
  <c r="J38" i="1"/>
  <c r="J57" i="1"/>
  <c r="J12" i="1"/>
  <c r="J42" i="1"/>
  <c r="J45" i="1"/>
  <c r="J20" i="1"/>
  <c r="J111" i="1"/>
  <c r="J101" i="1"/>
  <c r="J96" i="1"/>
  <c r="J83" i="1"/>
  <c r="J19" i="1"/>
  <c r="D5" i="1"/>
  <c r="D82" i="1"/>
  <c r="D105" i="1"/>
  <c r="D58" i="1"/>
  <c r="D53" i="1"/>
  <c r="D40" i="1"/>
  <c r="D48" i="1"/>
  <c r="D109" i="1"/>
  <c r="D102" i="1"/>
  <c r="D39" i="1"/>
  <c r="D113" i="1"/>
  <c r="D99" i="1"/>
  <c r="D32" i="1"/>
  <c r="D43" i="1"/>
  <c r="D47" i="1"/>
  <c r="D2" i="1"/>
  <c r="D69" i="1"/>
  <c r="D90" i="1"/>
  <c r="D108" i="1"/>
  <c r="D60" i="1"/>
  <c r="D30" i="1"/>
  <c r="D117" i="1"/>
  <c r="D103" i="1"/>
  <c r="D61" i="1"/>
  <c r="D75" i="1"/>
  <c r="D35" i="1"/>
  <c r="D115" i="1"/>
  <c r="D49" i="1"/>
  <c r="D100" i="1"/>
  <c r="D14" i="1"/>
  <c r="D25" i="1"/>
  <c r="D104" i="1"/>
  <c r="D114" i="1"/>
  <c r="D118" i="1"/>
  <c r="D88" i="1"/>
  <c r="D112" i="1"/>
  <c r="D11" i="1"/>
  <c r="D59" i="1"/>
  <c r="D29" i="1"/>
  <c r="D106" i="1"/>
  <c r="D87" i="1"/>
  <c r="D54" i="1"/>
  <c r="D31" i="1"/>
  <c r="D68" i="1"/>
  <c r="D116" i="1"/>
  <c r="D63" i="1"/>
  <c r="D46" i="1"/>
  <c r="D94" i="1"/>
  <c r="D6" i="1"/>
  <c r="D28" i="1"/>
  <c r="D16" i="1"/>
  <c r="D64" i="1"/>
  <c r="D10" i="1"/>
  <c r="D66" i="1"/>
  <c r="D51" i="1"/>
  <c r="D62" i="1"/>
  <c r="D97" i="1"/>
  <c r="D27" i="1"/>
  <c r="D23" i="1"/>
  <c r="D70" i="1"/>
  <c r="D7" i="1"/>
  <c r="D55" i="1"/>
  <c r="D15" i="1"/>
  <c r="D13" i="1"/>
  <c r="D33" i="1"/>
  <c r="D92" i="1"/>
  <c r="D71" i="1"/>
  <c r="D74" i="1"/>
  <c r="D65" i="1"/>
  <c r="D26" i="1"/>
  <c r="D24" i="1"/>
  <c r="D79" i="1"/>
  <c r="D98" i="1"/>
  <c r="D56" i="1"/>
  <c r="D78" i="1"/>
  <c r="D93" i="1"/>
  <c r="D8" i="1"/>
  <c r="D9" i="1"/>
  <c r="D37" i="1"/>
  <c r="D67" i="1"/>
  <c r="D34" i="1"/>
  <c r="D107" i="1"/>
  <c r="D121" i="1"/>
  <c r="D85" i="1"/>
  <c r="D80" i="1"/>
  <c r="D41" i="1"/>
  <c r="D52" i="1"/>
  <c r="D22" i="1"/>
  <c r="D4" i="1"/>
  <c r="D73" i="1"/>
  <c r="D17" i="1"/>
  <c r="D120" i="1"/>
  <c r="D119" i="1"/>
  <c r="D77" i="1"/>
  <c r="D36" i="1"/>
  <c r="D44" i="1"/>
  <c r="D50" i="1"/>
  <c r="D84" i="1"/>
  <c r="D86" i="1"/>
  <c r="D72" i="1"/>
  <c r="D91" i="1"/>
  <c r="D81" i="1"/>
  <c r="D110" i="1"/>
  <c r="D89" i="1"/>
  <c r="D21" i="1"/>
  <c r="D3" i="1"/>
  <c r="D18" i="1"/>
  <c r="D95" i="1"/>
  <c r="D38" i="1"/>
  <c r="D57" i="1"/>
  <c r="D12" i="1"/>
  <c r="D42" i="1"/>
  <c r="D45" i="1"/>
  <c r="D20" i="1"/>
  <c r="D111" i="1"/>
  <c r="D101" i="1"/>
  <c r="D96" i="1"/>
  <c r="D83" i="1"/>
  <c r="D76" i="1"/>
  <c r="D19" i="1"/>
</calcChain>
</file>

<file path=xl/sharedStrings.xml><?xml version="1.0" encoding="utf-8"?>
<sst xmlns="http://schemas.openxmlformats.org/spreadsheetml/2006/main" count="263" uniqueCount="143">
  <si>
    <t>Name</t>
  </si>
  <si>
    <t>Student ID</t>
  </si>
  <si>
    <t>Final exam</t>
  </si>
  <si>
    <t>Attendence</t>
  </si>
  <si>
    <t>Assignment 1</t>
  </si>
  <si>
    <t>Assignment 2</t>
  </si>
  <si>
    <t>Assignment 3</t>
  </si>
  <si>
    <t>Assignment 4</t>
  </si>
  <si>
    <t>Total</t>
  </si>
  <si>
    <t>CAO, Zhengjia</t>
  </si>
  <si>
    <t>CHEN, Haoyu</t>
  </si>
  <si>
    <t>CHEN, Jingyi</t>
  </si>
  <si>
    <t>CHEN, Weiming</t>
  </si>
  <si>
    <t>CHEN, Xiangling</t>
  </si>
  <si>
    <t>CHEN, Xinyun</t>
  </si>
  <si>
    <t>CHEN, Yanyu</t>
  </si>
  <si>
    <t>CHEN, Yaqian</t>
  </si>
  <si>
    <t>CHEN, Yuan</t>
  </si>
  <si>
    <t>CHEN, Zhilin</t>
  </si>
  <si>
    <t>CHENG, Yu</t>
  </si>
  <si>
    <t>CUI, Yuncong</t>
  </si>
  <si>
    <t>DENG, Hongwei</t>
  </si>
  <si>
    <t>DING, Jingyi</t>
  </si>
  <si>
    <t>DING, Laiyan</t>
  </si>
  <si>
    <t>FANG, Peijie</t>
  </si>
  <si>
    <t>FU, Kailun</t>
  </si>
  <si>
    <t>GAO, Weidong</t>
  </si>
  <si>
    <t>GAO, Yuan</t>
  </si>
  <si>
    <t>GE, Yuan</t>
  </si>
  <si>
    <t>GONG, Haolei</t>
  </si>
  <si>
    <t>GUAN, Tianyao</t>
  </si>
  <si>
    <t>GUO, Qicong</t>
  </si>
  <si>
    <t>HE, Xiaorui</t>
  </si>
  <si>
    <t>HE, Yiman</t>
  </si>
  <si>
    <t>HU, Huanran</t>
  </si>
  <si>
    <t>HUANG, Oushuo</t>
  </si>
  <si>
    <t>HUANG, Tianjian</t>
  </si>
  <si>
    <t>JI, Jie</t>
  </si>
  <si>
    <t>JIANG, Xinrong</t>
  </si>
  <si>
    <t>JIANG, Yu</t>
  </si>
  <si>
    <t>JIN, Leyang</t>
  </si>
  <si>
    <t>JIN, Yuzhe</t>
  </si>
  <si>
    <t>Lawu</t>
  </si>
  <si>
    <t>LI, Jiazheng</t>
  </si>
  <si>
    <t>LI, Yuhang</t>
  </si>
  <si>
    <t>LI, Yuxuan</t>
  </si>
  <si>
    <t>LI, Zehong</t>
  </si>
  <si>
    <t>LIANG, Jialu</t>
  </si>
  <si>
    <t>LIANG, Junhao</t>
  </si>
  <si>
    <t>LIN, Huixuan</t>
  </si>
  <si>
    <t>LIN, Jiejie</t>
  </si>
  <si>
    <t>LIN, Siyi</t>
  </si>
  <si>
    <t>LIN, Yukun</t>
  </si>
  <si>
    <t>LIN, Zhonghao</t>
  </si>
  <si>
    <t>LIU, Chang</t>
  </si>
  <si>
    <t>LIU, Guankai</t>
  </si>
  <si>
    <t>LIU, Haoxiang</t>
  </si>
  <si>
    <t>LIU, Junda</t>
  </si>
  <si>
    <t>LIU, Xiaoxiao</t>
  </si>
  <si>
    <t>LIU, Yichang</t>
  </si>
  <si>
    <t>LUO, Qijun</t>
  </si>
  <si>
    <t>LYU, Zhewen</t>
  </si>
  <si>
    <t>MAO, Mao</t>
  </si>
  <si>
    <t>MAO, Yiru</t>
  </si>
  <si>
    <t>IntanAdriel Abraham</t>
  </si>
  <si>
    <t>OU, Zhiqing</t>
  </si>
  <si>
    <t>Qin, Shixi</t>
  </si>
  <si>
    <t>RAO, Jin</t>
  </si>
  <si>
    <t>RAO, Shun</t>
  </si>
  <si>
    <t>REN, Liujing</t>
  </si>
  <si>
    <t>SHAO, Shiwen</t>
  </si>
  <si>
    <t>SHEN, Kai</t>
  </si>
  <si>
    <t>SHEN, Kunshuo</t>
  </si>
  <si>
    <t>SHEN, Yaling</t>
  </si>
  <si>
    <t>SHI, Yimin</t>
  </si>
  <si>
    <t>Sulystio</t>
  </si>
  <si>
    <t>W., Junqiang</t>
  </si>
  <si>
    <t>WANG, Pangfu</t>
  </si>
  <si>
    <t>WANG, Shaoyu</t>
  </si>
  <si>
    <t>WANG, Taojie</t>
  </si>
  <si>
    <t>WANG, Tengfei</t>
  </si>
  <si>
    <t>WANG, Tianhao</t>
  </si>
  <si>
    <t>WANG, Xingjian</t>
  </si>
  <si>
    <t>WANG, Xuanjun</t>
  </si>
  <si>
    <t>WANG, Yi an</t>
  </si>
  <si>
    <t>WANG, Yuexuan</t>
  </si>
  <si>
    <t>WANG, Yufeng</t>
  </si>
  <si>
    <t>WENG, Ziteng</t>
  </si>
  <si>
    <t>WU, Runzhong</t>
  </si>
  <si>
    <t>XIANG, Junjie</t>
  </si>
  <si>
    <t>XIAO, Huiyu</t>
  </si>
  <si>
    <t>XIE, Haotian</t>
  </si>
  <si>
    <t>XIE, Jifan</t>
  </si>
  <si>
    <t>XU, Jiale</t>
  </si>
  <si>
    <t>XU, Jintao</t>
  </si>
  <si>
    <t>XU, Tianyu</t>
  </si>
  <si>
    <t>XUE, Chunyue</t>
  </si>
  <si>
    <t>YANG, Jiekun</t>
  </si>
  <si>
    <t>YANG, Supei</t>
  </si>
  <si>
    <t>YANG, Yufan</t>
  </si>
  <si>
    <t>YE, Chongjie</t>
  </si>
  <si>
    <t>LI, Chen ang</t>
  </si>
  <si>
    <t>YU, Sinan</t>
  </si>
  <si>
    <t>ZENG, Muheng</t>
  </si>
  <si>
    <t>ZHAI, Zhenhong</t>
  </si>
  <si>
    <t>ZHANG, Gaojie</t>
  </si>
  <si>
    <t>ZHANG, Jiayan</t>
  </si>
  <si>
    <t>ZHANG, Jingfei</t>
  </si>
  <si>
    <t>ZHANG, Mu</t>
  </si>
  <si>
    <t>ZHANG, Pinfang</t>
  </si>
  <si>
    <t>ZHANG, Tianlun</t>
  </si>
  <si>
    <t>ZHANG, Xiaofan</t>
  </si>
  <si>
    <t>ZHANG, Xizhe</t>
  </si>
  <si>
    <t>ZHANG, Xuansu</t>
  </si>
  <si>
    <t>ZHANG, Yifei</t>
  </si>
  <si>
    <t>ZHANG, Yongqi</t>
  </si>
  <si>
    <t>ZHANG, Zeyin</t>
  </si>
  <si>
    <t>ZHAO, Kangran</t>
  </si>
  <si>
    <t>ZHAO, Ruixi</t>
  </si>
  <si>
    <t>ZHAO, Yuchen</t>
  </si>
  <si>
    <t>ZHENG, Bote</t>
  </si>
  <si>
    <t>ZHENG, Shunri</t>
  </si>
  <si>
    <t>ZHONG, Kaining</t>
  </si>
  <si>
    <t>ZHONG, Zihao</t>
  </si>
  <si>
    <t>ZHOU, Zheyuan</t>
  </si>
  <si>
    <t>ZHU, Jiacheng</t>
  </si>
  <si>
    <t>ZHU, Yunfan</t>
  </si>
  <si>
    <t>ZONG, Baicheng</t>
  </si>
  <si>
    <t>Hejie Pan</t>
  </si>
  <si>
    <t>Letter grade</t>
  </si>
  <si>
    <t>A</t>
  </si>
  <si>
    <t>A-</t>
  </si>
  <si>
    <t>B+</t>
  </si>
  <si>
    <t>B</t>
  </si>
  <si>
    <t>B-</t>
  </si>
  <si>
    <t>C+</t>
  </si>
  <si>
    <t>C</t>
  </si>
  <si>
    <t>C-</t>
  </si>
  <si>
    <t>F</t>
  </si>
  <si>
    <t>assignment checksum</t>
  </si>
  <si>
    <t>grade</t>
  </si>
  <si>
    <t>count</t>
  </si>
  <si>
    <t>percentage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</si>
</sst>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等线"/>
      <charset val="134"/>
      <scheme val="minor"/>
    </font>
    <font>
      <sz val="11"/>
      <color rgb="FF000000"/>
      <name val="宋体"/>
      <charset val="134"/>
    </font>
    <font>
      <sz val="12"/>
      <color theme="1"/>
      <name val="等线"/>
      <family val="2"/>
      <scheme val="minor"/>
    </font>
    <font>
      <sz val="9"/>
      <name val="等线"/>
      <charset val="134"/>
      <scheme val="minor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</borders>
  <cellStyleXfs count="1">
    <xf numFmtId="0" fontId="0" fillId="0" borderId="0">
      <alignment vertical="center"/>
    </xf>
  </cellStyleXfs>
  <cellXfs count="23">
    <xf numFmtId="0" fontId="0" fillId="0" borderId="0" xfId="0">
      <alignment vertical="center"/>
    </xf>
    <xf numFmtId="49" fontId="0" fillId="0" borderId="0" xfId="0" applyNumberFormat="1">
      <alignment vertical="center"/>
    </xf>
    <xf numFmtId="49" fontId="1" fillId="0" borderId="1" xfId="0" applyNumberFormat="1" applyFont="1" applyBorder="1" applyAlignment="1">
      <alignment horizontal="center" vertical="center" wrapText="1"/>
    </xf>
    <xf numFmtId="0" fontId="2" fillId="0" borderId="1" xfId="0" applyFont="1" applyFill="1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49" fontId="1" fillId="0" borderId="1" xfId="0" applyNumberFormat="1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0" fillId="0" borderId="1" xfId="0" applyBorder="1">
      <alignment vertical="center"/>
    </xf>
    <xf numFmtId="10" fontId="0" fillId="0" borderId="1" xfId="0" applyNumberFormat="1" applyBorder="1">
      <alignment vertical="center"/>
    </xf>
    <xf numFmtId="0" fontId="1" fillId="0" borderId="2" xfId="0" applyFont="1" applyBorder="1" applyAlignment="1">
      <alignment horizontal="center" vertical="center" wrapText="1"/>
    </xf>
    <xf numFmtId="0" fontId="1" fillId="0" borderId="2" xfId="0" applyFont="1" applyFill="1" applyBorder="1" applyAlignment="1">
      <alignment horizontal="center" vertical="center" wrapText="1"/>
    </xf>
    <xf numFmtId="0" fontId="0" fillId="0" borderId="3" xfId="0" applyBorder="1">
      <alignment vertical="center"/>
    </xf>
    <xf numFmtId="0" fontId="0" fillId="0" borderId="4" xfId="0" applyBorder="1" applyAlignment="1">
      <alignment horizontal="center" vertical="center"/>
    </xf>
    <xf numFmtId="49" fontId="0" fillId="0" borderId="5" xfId="0" applyNumberFormat="1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5" xfId="0" applyFill="1" applyBorder="1" applyAlignment="1">
      <alignment horizontal="center" vertical="center"/>
    </xf>
    <xf numFmtId="0" fontId="0" fillId="0" borderId="6" xfId="0" applyFill="1" applyBorder="1" applyAlignment="1">
      <alignment horizontal="center" vertical="center"/>
    </xf>
    <xf numFmtId="0" fontId="1" fillId="0" borderId="7" xfId="0" applyFont="1" applyBorder="1" applyAlignment="1">
      <alignment horizontal="center" vertical="center" wrapText="1"/>
    </xf>
    <xf numFmtId="49" fontId="1" fillId="0" borderId="8" xfId="0" applyNumberFormat="1" applyFont="1" applyBorder="1" applyAlignment="1">
      <alignment horizontal="center" vertical="center" wrapText="1"/>
    </xf>
    <xf numFmtId="0" fontId="0" fillId="0" borderId="8" xfId="0" applyBorder="1" applyAlignment="1">
      <alignment horizontal="center" vertical="center"/>
    </xf>
    <xf numFmtId="0" fontId="2" fillId="0" borderId="8" xfId="0" applyFont="1" applyFill="1" applyBorder="1" applyAlignment="1">
      <alignment horizontal="center" vertical="center"/>
    </xf>
    <xf numFmtId="0" fontId="0" fillId="0" borderId="9" xfId="0" applyBorder="1">
      <alignment vertical="center"/>
    </xf>
  </cellXfs>
  <cellStyles count="1">
    <cellStyle name="常规" xfId="0" builtinId="0"/>
  </cellStyles>
  <dxfs count="16">
    <dxf>
      <border diagonalUp="0" diagonalDown="0">
        <left style="thin">
          <color auto="1"/>
        </left>
        <right/>
        <top style="thin">
          <color auto="1"/>
        </top>
        <bottom style="thin">
          <color auto="1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charset val="134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charset val="134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宋体"/>
        <charset val="134"/>
        <scheme val="none"/>
      </font>
      <numFmt numFmtId="30" formatCode="@"/>
      <alignment horizontal="center" vertical="center" textRotation="0" wrapText="1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宋体"/>
        <charset val="134"/>
        <scheme val="none"/>
      </font>
      <alignment horizontal="center" vertical="center" textRotation="0" wrapText="1" indent="0" justifyLastLine="0" shrinkToFit="0" readingOrder="0"/>
      <border diagonalUp="0" diagonalDown="0">
        <left/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outline="0">
        <top style="thin">
          <color auto="1"/>
        </top>
      </border>
    </dxf>
    <dxf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alignment horizontal="center" vertical="center" textRotation="0" wrapText="0" indent="0" justifyLastLine="0" shrinkToFit="0" readingOrder="0"/>
    </dxf>
    <dxf>
      <border outline="0">
        <bottom style="thin">
          <color auto="1"/>
        </bottom>
      </border>
    </dxf>
    <dxf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03EBFC4-7D89-9F41-9A6F-BF716F242370}" name="Table1" displayName="Table1" ref="A1:K121" totalsRowShown="0" headerRowDxfId="15" dataDxfId="13" headerRowBorderDxfId="14" tableBorderDxfId="12" totalsRowBorderDxfId="11">
  <autoFilter ref="A1:K121" xr:uid="{A9EDDE6D-4498-2647-90CD-5D150CE17202}"/>
  <sortState xmlns:xlrd2="http://schemas.microsoft.com/office/spreadsheetml/2017/richdata2" ref="A2:K121">
    <sortCondition descending="1" ref="J1:J121"/>
  </sortState>
  <tableColumns count="11">
    <tableColumn id="1" xr3:uid="{9A3D7FE7-A36A-BE49-ADDF-F4CA22FC1C1A}" name="Name" dataDxfId="10"/>
    <tableColumn id="2" xr3:uid="{98C1782B-7CCA-B248-99DC-55BB3B57FCCF}" name="Student ID" dataDxfId="9"/>
    <tableColumn id="3" xr3:uid="{A0D8603B-0956-2D4F-958F-F077EC7C702F}" name="Final exam" dataDxfId="8"/>
    <tableColumn id="4" xr3:uid="{A75218E3-696F-EC43-A419-F46613FDF6E1}" name="assignment checksum" dataDxfId="7">
      <calculatedColumnFormula>F2+G2+H2+I2</calculatedColumnFormula>
    </tableColumn>
    <tableColumn id="5" xr3:uid="{E1A308AB-1154-CE4E-907B-9651380ED48A}" name="Attendence" dataDxfId="6"/>
    <tableColumn id="6" xr3:uid="{EC308A7A-96BA-DE45-A21B-F90EDB286B87}" name="Assignment 1" dataDxfId="5"/>
    <tableColumn id="7" xr3:uid="{9CE1F7D1-337F-D641-ABDF-0A256F1902B1}" name="Assignment 2" dataDxfId="4"/>
    <tableColumn id="8" xr3:uid="{97E12EB3-643B-5046-9F51-620AB38D7A1E}" name="Assignment 3" dataDxfId="3"/>
    <tableColumn id="9" xr3:uid="{55BC081A-5477-DA4D-A52B-278CEE4C559E}" name="Assignment 4" dataDxfId="2"/>
    <tableColumn id="10" xr3:uid="{DF5DB283-E011-974D-9F6C-C070ECE6923F}" name="Total" dataDxfId="1">
      <calculatedColumnFormula>5*E2+0.175*F2+0.175*G2+0.175*H2+0.175*I2+0.25*C2</calculatedColumnFormula>
    </tableColumn>
    <tableColumn id="11" xr3:uid="{33CC7D1D-C129-444B-B57A-EE828C091296}" name="Letter grade" dataDxfId="0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23"/>
  <sheetViews>
    <sheetView tabSelected="1" zoomScale="83" zoomScaleNormal="115" workbookViewId="0">
      <selection activeCell="N13" sqref="N13"/>
    </sheetView>
  </sheetViews>
  <sheetFormatPr defaultColWidth="8.85546875" defaultRowHeight="14.15" x14ac:dyDescent="0.35"/>
  <cols>
    <col min="1" max="1" width="17" customWidth="1"/>
    <col min="2" max="2" width="17.140625" style="1" customWidth="1"/>
    <col min="3" max="3" width="11.140625" hidden="1" customWidth="1"/>
    <col min="4" max="4" width="19" customWidth="1"/>
    <col min="5" max="5" width="16" customWidth="1"/>
    <col min="6" max="6" width="17.35546875" customWidth="1"/>
    <col min="7" max="7" width="19.640625" customWidth="1"/>
    <col min="8" max="8" width="17.5" customWidth="1"/>
    <col min="9" max="9" width="12.140625" customWidth="1"/>
    <col min="10" max="10" width="13.85546875" customWidth="1"/>
    <col min="11" max="11" width="12.140625" customWidth="1"/>
    <col min="14" max="14" width="10.640625" customWidth="1"/>
  </cols>
  <sheetData>
    <row r="1" spans="1:14" x14ac:dyDescent="0.35">
      <c r="A1" s="13" t="s">
        <v>0</v>
      </c>
      <c r="B1" s="14" t="s">
        <v>1</v>
      </c>
      <c r="C1" s="15" t="s">
        <v>2</v>
      </c>
      <c r="D1" s="15" t="s">
        <v>139</v>
      </c>
      <c r="E1" s="15" t="s">
        <v>3</v>
      </c>
      <c r="F1" s="15" t="s">
        <v>4</v>
      </c>
      <c r="G1" s="15" t="s">
        <v>5</v>
      </c>
      <c r="H1" s="15" t="s">
        <v>6</v>
      </c>
      <c r="I1" s="15" t="s">
        <v>7</v>
      </c>
      <c r="J1" s="16" t="s">
        <v>8</v>
      </c>
      <c r="K1" s="17" t="s">
        <v>129</v>
      </c>
      <c r="L1" s="4" t="s">
        <v>140</v>
      </c>
      <c r="M1" s="4" t="s">
        <v>141</v>
      </c>
      <c r="N1" s="4" t="s">
        <v>142</v>
      </c>
    </row>
    <row r="2" spans="1:14" ht="15" x14ac:dyDescent="0.35">
      <c r="A2" s="10" t="s">
        <v>26</v>
      </c>
      <c r="B2" s="2">
        <v>117010067</v>
      </c>
      <c r="C2" s="5">
        <v>86.5</v>
      </c>
      <c r="D2" s="5">
        <f t="shared" ref="D2:D33" si="0">F2+G2+H2+I2</f>
        <v>428</v>
      </c>
      <c r="E2" s="5">
        <v>1</v>
      </c>
      <c r="F2" s="3">
        <v>98</v>
      </c>
      <c r="G2" s="5">
        <v>110</v>
      </c>
      <c r="H2" s="3">
        <v>110</v>
      </c>
      <c r="I2" s="5">
        <v>110</v>
      </c>
      <c r="J2" s="5">
        <f t="shared" ref="J2:J33" si="1">5*E2+0.175*F2+0.175*G2+0.175*H2+0.175*I2+0.25*C2</f>
        <v>101.52500000000001</v>
      </c>
      <c r="K2" s="12" t="s">
        <v>130</v>
      </c>
      <c r="L2" s="8" t="s">
        <v>130</v>
      </c>
      <c r="M2" s="8">
        <v>21</v>
      </c>
      <c r="N2" s="9">
        <f>M2/121</f>
        <v>0.17355371900826447</v>
      </c>
    </row>
    <row r="3" spans="1:14" ht="15" x14ac:dyDescent="0.35">
      <c r="A3" s="10" t="s">
        <v>116</v>
      </c>
      <c r="B3" s="2">
        <v>118010430</v>
      </c>
      <c r="C3" s="5">
        <v>87.5</v>
      </c>
      <c r="D3" s="5">
        <f t="shared" si="0"/>
        <v>426</v>
      </c>
      <c r="E3" s="5">
        <v>1</v>
      </c>
      <c r="F3" s="3">
        <v>96</v>
      </c>
      <c r="G3" s="5">
        <v>110</v>
      </c>
      <c r="H3" s="3">
        <v>110</v>
      </c>
      <c r="I3" s="5">
        <v>110</v>
      </c>
      <c r="J3" s="5">
        <f t="shared" si="1"/>
        <v>101.425</v>
      </c>
      <c r="K3" s="12" t="s">
        <v>130</v>
      </c>
      <c r="L3" s="8" t="s">
        <v>131</v>
      </c>
      <c r="M3" s="8">
        <v>18</v>
      </c>
      <c r="N3" s="9">
        <f t="shared" ref="N3:N10" si="2">M3/121</f>
        <v>0.1487603305785124</v>
      </c>
    </row>
    <row r="4" spans="1:14" ht="15" x14ac:dyDescent="0.35">
      <c r="A4" s="10" t="s">
        <v>99</v>
      </c>
      <c r="B4" s="2">
        <v>117010349</v>
      </c>
      <c r="C4" s="5">
        <v>83.5</v>
      </c>
      <c r="D4" s="5">
        <f t="shared" si="0"/>
        <v>424</v>
      </c>
      <c r="E4" s="5">
        <v>1</v>
      </c>
      <c r="F4" s="3">
        <v>94</v>
      </c>
      <c r="G4" s="5">
        <v>110</v>
      </c>
      <c r="H4" s="3">
        <v>110</v>
      </c>
      <c r="I4" s="5">
        <v>110</v>
      </c>
      <c r="J4" s="5">
        <f t="shared" si="1"/>
        <v>100.075</v>
      </c>
      <c r="K4" s="12" t="s">
        <v>130</v>
      </c>
      <c r="L4" s="8" t="s">
        <v>132</v>
      </c>
      <c r="M4" s="8">
        <v>23</v>
      </c>
      <c r="N4" s="9">
        <f t="shared" si="2"/>
        <v>0.19008264462809918</v>
      </c>
    </row>
    <row r="5" spans="1:14" ht="15" x14ac:dyDescent="0.35">
      <c r="A5" s="10" t="s">
        <v>11</v>
      </c>
      <c r="B5" s="2">
        <v>117010016</v>
      </c>
      <c r="C5" s="5">
        <v>84.5</v>
      </c>
      <c r="D5" s="5">
        <f t="shared" si="0"/>
        <v>418</v>
      </c>
      <c r="E5" s="5">
        <v>1</v>
      </c>
      <c r="F5" s="3">
        <v>88</v>
      </c>
      <c r="G5" s="5">
        <v>110</v>
      </c>
      <c r="H5" s="3">
        <v>110</v>
      </c>
      <c r="I5" s="5">
        <v>110</v>
      </c>
      <c r="J5" s="5">
        <f t="shared" si="1"/>
        <v>99.275000000000006</v>
      </c>
      <c r="K5" s="12" t="s">
        <v>130</v>
      </c>
      <c r="L5" s="8" t="s">
        <v>133</v>
      </c>
      <c r="M5" s="8">
        <v>23</v>
      </c>
      <c r="N5" s="9">
        <f t="shared" si="2"/>
        <v>0.19008264462809918</v>
      </c>
    </row>
    <row r="6" spans="1:14" ht="15" x14ac:dyDescent="0.35">
      <c r="A6" s="10" t="s">
        <v>59</v>
      </c>
      <c r="B6" s="2">
        <v>117010178</v>
      </c>
      <c r="C6" s="5">
        <v>85</v>
      </c>
      <c r="D6" s="5">
        <f t="shared" si="0"/>
        <v>414</v>
      </c>
      <c r="E6" s="5">
        <v>1</v>
      </c>
      <c r="F6" s="3">
        <v>99</v>
      </c>
      <c r="G6" s="5">
        <v>110</v>
      </c>
      <c r="H6" s="3">
        <v>100</v>
      </c>
      <c r="I6" s="5">
        <v>105</v>
      </c>
      <c r="J6" s="5">
        <f t="shared" si="1"/>
        <v>98.7</v>
      </c>
      <c r="K6" s="12" t="s">
        <v>130</v>
      </c>
      <c r="L6" s="8" t="s">
        <v>134</v>
      </c>
      <c r="M6" s="8">
        <v>15</v>
      </c>
      <c r="N6" s="9">
        <f t="shared" si="2"/>
        <v>0.12396694214876033</v>
      </c>
    </row>
    <row r="7" spans="1:14" ht="15" x14ac:dyDescent="0.35">
      <c r="A7" s="10" t="s">
        <v>71</v>
      </c>
      <c r="B7" s="2">
        <v>118010254</v>
      </c>
      <c r="C7" s="5">
        <v>80.5</v>
      </c>
      <c r="D7" s="5">
        <f t="shared" si="0"/>
        <v>419</v>
      </c>
      <c r="E7" s="5">
        <v>1</v>
      </c>
      <c r="F7" s="3">
        <v>94</v>
      </c>
      <c r="G7" s="5">
        <v>105</v>
      </c>
      <c r="H7" s="3">
        <v>110</v>
      </c>
      <c r="I7" s="5">
        <v>110</v>
      </c>
      <c r="J7" s="5">
        <f t="shared" si="1"/>
        <v>98.45</v>
      </c>
      <c r="K7" s="12" t="s">
        <v>130</v>
      </c>
      <c r="L7" s="8" t="s">
        <v>135</v>
      </c>
      <c r="M7" s="8">
        <v>10</v>
      </c>
      <c r="N7" s="9">
        <f t="shared" si="2"/>
        <v>8.2644628099173556E-2</v>
      </c>
    </row>
    <row r="8" spans="1:14" ht="15" x14ac:dyDescent="0.35">
      <c r="A8" s="10" t="s">
        <v>87</v>
      </c>
      <c r="B8" s="2">
        <v>117010283</v>
      </c>
      <c r="C8" s="5">
        <v>73</v>
      </c>
      <c r="D8" s="5">
        <f t="shared" si="0"/>
        <v>428</v>
      </c>
      <c r="E8" s="5">
        <v>1</v>
      </c>
      <c r="F8" s="3">
        <v>98</v>
      </c>
      <c r="G8" s="5">
        <v>110</v>
      </c>
      <c r="H8" s="3">
        <v>110</v>
      </c>
      <c r="I8" s="5">
        <v>110</v>
      </c>
      <c r="J8" s="5">
        <f t="shared" si="1"/>
        <v>98.15</v>
      </c>
      <c r="K8" s="12" t="s">
        <v>130</v>
      </c>
      <c r="L8" s="8" t="s">
        <v>136</v>
      </c>
      <c r="M8" s="8">
        <v>2</v>
      </c>
      <c r="N8" s="9">
        <f t="shared" si="2"/>
        <v>1.6528925619834711E-2</v>
      </c>
    </row>
    <row r="9" spans="1:14" ht="15" x14ac:dyDescent="0.35">
      <c r="A9" s="10" t="s">
        <v>88</v>
      </c>
      <c r="B9" s="2">
        <v>117010289</v>
      </c>
      <c r="C9" s="5">
        <v>83</v>
      </c>
      <c r="D9" s="5">
        <f t="shared" si="0"/>
        <v>413</v>
      </c>
      <c r="E9" s="5">
        <v>1</v>
      </c>
      <c r="F9" s="3">
        <v>88</v>
      </c>
      <c r="G9" s="5">
        <v>105</v>
      </c>
      <c r="H9" s="3">
        <v>110</v>
      </c>
      <c r="I9" s="5">
        <v>110</v>
      </c>
      <c r="J9" s="5">
        <f t="shared" si="1"/>
        <v>98.025000000000006</v>
      </c>
      <c r="K9" s="12" t="s">
        <v>130</v>
      </c>
      <c r="L9" s="8" t="s">
        <v>137</v>
      </c>
      <c r="M9" s="8">
        <v>0</v>
      </c>
      <c r="N9" s="9">
        <f t="shared" si="2"/>
        <v>0</v>
      </c>
    </row>
    <row r="10" spans="1:14" ht="15" x14ac:dyDescent="0.35">
      <c r="A10" s="10" t="s">
        <v>63</v>
      </c>
      <c r="B10" s="2">
        <v>118010223</v>
      </c>
      <c r="C10" s="5">
        <v>72.5</v>
      </c>
      <c r="D10" s="5">
        <f t="shared" si="0"/>
        <v>425</v>
      </c>
      <c r="E10" s="5">
        <v>1</v>
      </c>
      <c r="F10" s="3">
        <v>95</v>
      </c>
      <c r="G10" s="5">
        <v>110</v>
      </c>
      <c r="H10" s="3">
        <v>110</v>
      </c>
      <c r="I10" s="5">
        <v>110</v>
      </c>
      <c r="J10" s="5">
        <f t="shared" si="1"/>
        <v>97.5</v>
      </c>
      <c r="K10" s="12" t="s">
        <v>130</v>
      </c>
      <c r="L10" s="8" t="s">
        <v>138</v>
      </c>
      <c r="M10" s="8">
        <v>8</v>
      </c>
      <c r="N10" s="9">
        <f t="shared" si="2"/>
        <v>6.6115702479338845E-2</v>
      </c>
    </row>
    <row r="11" spans="1:14" ht="15" x14ac:dyDescent="0.35">
      <c r="A11" s="10" t="s">
        <v>47</v>
      </c>
      <c r="B11" s="2">
        <v>118010164</v>
      </c>
      <c r="C11" s="5">
        <v>79</v>
      </c>
      <c r="D11" s="5">
        <f t="shared" si="0"/>
        <v>415</v>
      </c>
      <c r="E11" s="5">
        <v>1</v>
      </c>
      <c r="F11" s="3">
        <v>90</v>
      </c>
      <c r="G11" s="5">
        <v>110</v>
      </c>
      <c r="H11" s="3">
        <v>110</v>
      </c>
      <c r="I11" s="5">
        <v>105</v>
      </c>
      <c r="J11" s="5">
        <f t="shared" si="1"/>
        <v>97.375</v>
      </c>
      <c r="K11" s="12" t="s">
        <v>130</v>
      </c>
    </row>
    <row r="12" spans="1:14" ht="15" x14ac:dyDescent="0.35">
      <c r="A12" s="10" t="s">
        <v>121</v>
      </c>
      <c r="B12" s="2">
        <v>118010445</v>
      </c>
      <c r="C12" s="5">
        <v>77.5</v>
      </c>
      <c r="D12" s="5">
        <f t="shared" si="0"/>
        <v>417</v>
      </c>
      <c r="E12" s="5">
        <v>1</v>
      </c>
      <c r="F12" s="3">
        <v>92</v>
      </c>
      <c r="G12" s="5">
        <v>105</v>
      </c>
      <c r="H12" s="3">
        <v>110</v>
      </c>
      <c r="I12" s="5">
        <v>110</v>
      </c>
      <c r="J12" s="5">
        <f t="shared" si="1"/>
        <v>97.35</v>
      </c>
      <c r="K12" s="12" t="s">
        <v>130</v>
      </c>
    </row>
    <row r="13" spans="1:14" ht="15" x14ac:dyDescent="0.35">
      <c r="A13" s="10" t="s">
        <v>74</v>
      </c>
      <c r="B13" s="2">
        <v>117010230</v>
      </c>
      <c r="C13" s="5">
        <v>81.5</v>
      </c>
      <c r="D13" s="5">
        <f t="shared" si="0"/>
        <v>410</v>
      </c>
      <c r="E13" s="5">
        <v>1</v>
      </c>
      <c r="F13" s="3">
        <v>90</v>
      </c>
      <c r="G13" s="5">
        <v>100</v>
      </c>
      <c r="H13" s="3">
        <v>110</v>
      </c>
      <c r="I13" s="5">
        <v>110</v>
      </c>
      <c r="J13" s="5">
        <f t="shared" si="1"/>
        <v>97.125</v>
      </c>
      <c r="K13" s="12" t="s">
        <v>130</v>
      </c>
    </row>
    <row r="14" spans="1:14" ht="15" x14ac:dyDescent="0.35">
      <c r="A14" s="10" t="s">
        <v>40</v>
      </c>
      <c r="B14" s="2">
        <v>117010110</v>
      </c>
      <c r="C14" s="5">
        <v>85</v>
      </c>
      <c r="D14" s="5">
        <f t="shared" si="0"/>
        <v>404</v>
      </c>
      <c r="E14" s="5">
        <v>1</v>
      </c>
      <c r="F14" s="3">
        <v>94</v>
      </c>
      <c r="G14" s="5">
        <v>110</v>
      </c>
      <c r="H14" s="3">
        <v>100</v>
      </c>
      <c r="I14" s="5">
        <v>100</v>
      </c>
      <c r="J14" s="5">
        <f t="shared" si="1"/>
        <v>96.95</v>
      </c>
      <c r="K14" s="12" t="s">
        <v>130</v>
      </c>
    </row>
    <row r="15" spans="1:14" ht="15" x14ac:dyDescent="0.35">
      <c r="A15" s="10" t="s">
        <v>73</v>
      </c>
      <c r="B15" s="2">
        <v>117010228</v>
      </c>
      <c r="C15" s="5">
        <v>74.5</v>
      </c>
      <c r="D15" s="5">
        <f t="shared" si="0"/>
        <v>418</v>
      </c>
      <c r="E15" s="5">
        <v>1</v>
      </c>
      <c r="F15" s="3">
        <v>88</v>
      </c>
      <c r="G15" s="5">
        <v>110</v>
      </c>
      <c r="H15" s="3">
        <v>110</v>
      </c>
      <c r="I15" s="5">
        <v>110</v>
      </c>
      <c r="J15" s="5">
        <f t="shared" si="1"/>
        <v>96.775000000000006</v>
      </c>
      <c r="K15" s="12" t="s">
        <v>130</v>
      </c>
    </row>
    <row r="16" spans="1:14" ht="15" x14ac:dyDescent="0.35">
      <c r="A16" s="10" t="s">
        <v>61</v>
      </c>
      <c r="B16" s="2">
        <v>117010194</v>
      </c>
      <c r="C16" s="5">
        <v>82.5</v>
      </c>
      <c r="D16" s="5">
        <f t="shared" si="0"/>
        <v>406</v>
      </c>
      <c r="E16" s="5">
        <v>1</v>
      </c>
      <c r="F16" s="3">
        <v>86</v>
      </c>
      <c r="G16" s="5">
        <v>100</v>
      </c>
      <c r="H16" s="3">
        <v>110</v>
      </c>
      <c r="I16" s="5">
        <v>110</v>
      </c>
      <c r="J16" s="5">
        <f t="shared" si="1"/>
        <v>96.674999999999997</v>
      </c>
      <c r="K16" s="12" t="s">
        <v>130</v>
      </c>
    </row>
    <row r="17" spans="1:11" ht="15" x14ac:dyDescent="0.35">
      <c r="A17" s="10" t="s">
        <v>101</v>
      </c>
      <c r="B17" s="2">
        <v>118010135</v>
      </c>
      <c r="C17" s="5">
        <v>72.5</v>
      </c>
      <c r="D17" s="5">
        <f t="shared" si="0"/>
        <v>420</v>
      </c>
      <c r="E17" s="5">
        <v>1</v>
      </c>
      <c r="F17" s="3">
        <v>90</v>
      </c>
      <c r="G17" s="5">
        <v>110</v>
      </c>
      <c r="H17" s="3">
        <v>110</v>
      </c>
      <c r="I17" s="5">
        <v>110</v>
      </c>
      <c r="J17" s="5">
        <f t="shared" si="1"/>
        <v>96.625</v>
      </c>
      <c r="K17" s="12" t="s">
        <v>130</v>
      </c>
    </row>
    <row r="18" spans="1:11" ht="15" x14ac:dyDescent="0.35">
      <c r="A18" s="10" t="s">
        <v>117</v>
      </c>
      <c r="B18" s="2">
        <v>118010438</v>
      </c>
      <c r="C18" s="5">
        <v>82</v>
      </c>
      <c r="D18" s="5">
        <f t="shared" si="0"/>
        <v>406</v>
      </c>
      <c r="E18" s="5">
        <v>1</v>
      </c>
      <c r="F18" s="3">
        <v>86</v>
      </c>
      <c r="G18" s="5">
        <v>110</v>
      </c>
      <c r="H18" s="3">
        <v>100</v>
      </c>
      <c r="I18" s="5">
        <v>110</v>
      </c>
      <c r="J18" s="5">
        <f t="shared" si="1"/>
        <v>96.55</v>
      </c>
      <c r="K18" s="12" t="s">
        <v>130</v>
      </c>
    </row>
    <row r="19" spans="1:11" ht="15" x14ac:dyDescent="0.35">
      <c r="A19" s="10" t="s">
        <v>9</v>
      </c>
      <c r="B19" s="2">
        <v>117010008</v>
      </c>
      <c r="C19" s="5">
        <v>75</v>
      </c>
      <c r="D19" s="5">
        <f t="shared" si="0"/>
        <v>415</v>
      </c>
      <c r="E19" s="5">
        <v>1</v>
      </c>
      <c r="F19" s="3">
        <v>100</v>
      </c>
      <c r="G19" s="5">
        <v>95</v>
      </c>
      <c r="H19" s="3">
        <v>110</v>
      </c>
      <c r="I19" s="5">
        <v>110</v>
      </c>
      <c r="J19" s="5">
        <f t="shared" si="1"/>
        <v>96.375</v>
      </c>
      <c r="K19" s="12" t="s">
        <v>130</v>
      </c>
    </row>
    <row r="20" spans="1:11" ht="15" x14ac:dyDescent="0.35">
      <c r="A20" s="10" t="s">
        <v>124</v>
      </c>
      <c r="B20" s="2">
        <v>117010423</v>
      </c>
      <c r="C20" s="5">
        <v>82</v>
      </c>
      <c r="D20" s="5">
        <f t="shared" si="0"/>
        <v>405</v>
      </c>
      <c r="E20" s="5">
        <v>1</v>
      </c>
      <c r="F20" s="3">
        <v>100</v>
      </c>
      <c r="G20" s="5">
        <v>110</v>
      </c>
      <c r="H20" s="3">
        <v>95</v>
      </c>
      <c r="I20" s="5">
        <v>100</v>
      </c>
      <c r="J20" s="5">
        <f t="shared" si="1"/>
        <v>96.375</v>
      </c>
      <c r="K20" s="12" t="s">
        <v>130</v>
      </c>
    </row>
    <row r="21" spans="1:11" ht="15" x14ac:dyDescent="0.35">
      <c r="A21" s="10" t="s">
        <v>115</v>
      </c>
      <c r="B21" s="2">
        <v>117010393</v>
      </c>
      <c r="C21" s="5">
        <v>78</v>
      </c>
      <c r="D21" s="5">
        <f t="shared" si="0"/>
        <v>410</v>
      </c>
      <c r="E21" s="5">
        <v>1</v>
      </c>
      <c r="F21" s="3">
        <v>90</v>
      </c>
      <c r="G21" s="5">
        <v>110</v>
      </c>
      <c r="H21" s="3">
        <v>100</v>
      </c>
      <c r="I21" s="5">
        <v>110</v>
      </c>
      <c r="J21" s="5">
        <f t="shared" si="1"/>
        <v>96.25</v>
      </c>
      <c r="K21" s="12" t="s">
        <v>130</v>
      </c>
    </row>
    <row r="22" spans="1:11" ht="15" x14ac:dyDescent="0.35">
      <c r="A22" s="10" t="s">
        <v>98</v>
      </c>
      <c r="B22" s="2">
        <v>118010370</v>
      </c>
      <c r="C22" s="5">
        <v>70.5</v>
      </c>
      <c r="D22" s="5">
        <f t="shared" si="0"/>
        <v>420</v>
      </c>
      <c r="E22" s="5">
        <v>1</v>
      </c>
      <c r="F22" s="3">
        <v>90</v>
      </c>
      <c r="G22" s="5">
        <v>110</v>
      </c>
      <c r="H22" s="3">
        <v>110</v>
      </c>
      <c r="I22" s="5">
        <v>110</v>
      </c>
      <c r="J22" s="5">
        <f t="shared" si="1"/>
        <v>96.125</v>
      </c>
      <c r="K22" s="12" t="s">
        <v>130</v>
      </c>
    </row>
    <row r="23" spans="1:11" ht="15" x14ac:dyDescent="0.35">
      <c r="A23" s="10" t="s">
        <v>69</v>
      </c>
      <c r="B23" s="2">
        <v>117010222</v>
      </c>
      <c r="C23" s="5">
        <v>67.5</v>
      </c>
      <c r="D23" s="5">
        <f t="shared" si="0"/>
        <v>422</v>
      </c>
      <c r="E23" s="5">
        <v>1</v>
      </c>
      <c r="F23" s="3">
        <v>92</v>
      </c>
      <c r="G23" s="5">
        <v>110</v>
      </c>
      <c r="H23" s="3">
        <v>110</v>
      </c>
      <c r="I23" s="5">
        <v>110</v>
      </c>
      <c r="J23" s="5">
        <f t="shared" si="1"/>
        <v>95.724999999999994</v>
      </c>
      <c r="K23" s="12" t="s">
        <v>131</v>
      </c>
    </row>
    <row r="24" spans="1:11" ht="15" x14ac:dyDescent="0.35">
      <c r="A24" s="10" t="s">
        <v>81</v>
      </c>
      <c r="B24" s="2">
        <v>116010222</v>
      </c>
      <c r="C24" s="5">
        <v>81.5</v>
      </c>
      <c r="D24" s="5">
        <f t="shared" si="0"/>
        <v>400</v>
      </c>
      <c r="E24" s="5">
        <v>1</v>
      </c>
      <c r="F24" s="3">
        <v>75</v>
      </c>
      <c r="G24" s="5">
        <v>110</v>
      </c>
      <c r="H24" s="3">
        <v>105</v>
      </c>
      <c r="I24" s="5">
        <v>110</v>
      </c>
      <c r="J24" s="5">
        <f t="shared" si="1"/>
        <v>95.375</v>
      </c>
      <c r="K24" s="12" t="s">
        <v>131</v>
      </c>
    </row>
    <row r="25" spans="1:11" ht="15" x14ac:dyDescent="0.35">
      <c r="A25" s="10" t="s">
        <v>41</v>
      </c>
      <c r="B25" s="2">
        <v>118010128</v>
      </c>
      <c r="C25" s="5">
        <v>77.5</v>
      </c>
      <c r="D25" s="5">
        <f t="shared" si="0"/>
        <v>405</v>
      </c>
      <c r="E25" s="5">
        <v>1</v>
      </c>
      <c r="F25" s="3">
        <v>85</v>
      </c>
      <c r="G25" s="5">
        <v>100</v>
      </c>
      <c r="H25" s="3">
        <v>110</v>
      </c>
      <c r="I25" s="5">
        <v>110</v>
      </c>
      <c r="J25" s="5">
        <f t="shared" si="1"/>
        <v>95.25</v>
      </c>
      <c r="K25" s="12" t="s">
        <v>131</v>
      </c>
    </row>
    <row r="26" spans="1:11" ht="15" x14ac:dyDescent="0.35">
      <c r="A26" s="10" t="s">
        <v>80</v>
      </c>
      <c r="B26" s="2">
        <v>118010307</v>
      </c>
      <c r="C26" s="5">
        <v>83</v>
      </c>
      <c r="D26" s="5">
        <f t="shared" si="0"/>
        <v>395</v>
      </c>
      <c r="E26" s="5">
        <v>1</v>
      </c>
      <c r="F26" s="3">
        <v>80</v>
      </c>
      <c r="G26" s="5">
        <v>95</v>
      </c>
      <c r="H26" s="3">
        <v>110</v>
      </c>
      <c r="I26" s="5">
        <v>110</v>
      </c>
      <c r="J26" s="5">
        <f t="shared" si="1"/>
        <v>94.875</v>
      </c>
      <c r="K26" s="12" t="s">
        <v>131</v>
      </c>
    </row>
    <row r="27" spans="1:11" ht="15" x14ac:dyDescent="0.35">
      <c r="A27" s="10" t="s">
        <v>68</v>
      </c>
      <c r="B27" s="2">
        <v>116010183</v>
      </c>
      <c r="C27" s="5">
        <v>79.5</v>
      </c>
      <c r="D27" s="5">
        <f t="shared" si="0"/>
        <v>398</v>
      </c>
      <c r="E27" s="5">
        <v>1</v>
      </c>
      <c r="F27" s="3">
        <v>78</v>
      </c>
      <c r="G27" s="5">
        <v>100</v>
      </c>
      <c r="H27" s="3">
        <v>110</v>
      </c>
      <c r="I27" s="5">
        <v>110</v>
      </c>
      <c r="J27" s="5">
        <f t="shared" si="1"/>
        <v>94.525000000000006</v>
      </c>
      <c r="K27" s="12" t="s">
        <v>131</v>
      </c>
    </row>
    <row r="28" spans="1:11" ht="15" x14ac:dyDescent="0.35">
      <c r="A28" s="10" t="s">
        <v>60</v>
      </c>
      <c r="B28" s="2">
        <v>116030046</v>
      </c>
      <c r="C28" s="5">
        <v>80</v>
      </c>
      <c r="D28" s="5">
        <f t="shared" si="0"/>
        <v>397</v>
      </c>
      <c r="E28" s="5">
        <v>1</v>
      </c>
      <c r="F28" s="3">
        <v>82</v>
      </c>
      <c r="G28" s="5">
        <v>95</v>
      </c>
      <c r="H28" s="3">
        <v>110</v>
      </c>
      <c r="I28" s="5">
        <v>110</v>
      </c>
      <c r="J28" s="5">
        <f t="shared" si="1"/>
        <v>94.474999999999994</v>
      </c>
      <c r="K28" s="12" t="s">
        <v>131</v>
      </c>
    </row>
    <row r="29" spans="1:11" ht="15" x14ac:dyDescent="0.35">
      <c r="A29" s="10" t="s">
        <v>49</v>
      </c>
      <c r="B29" s="2">
        <v>117010153</v>
      </c>
      <c r="C29" s="5">
        <v>71</v>
      </c>
      <c r="D29" s="5">
        <f t="shared" si="0"/>
        <v>408</v>
      </c>
      <c r="E29" s="5">
        <v>1</v>
      </c>
      <c r="F29" s="3">
        <v>88</v>
      </c>
      <c r="G29" s="5">
        <v>100</v>
      </c>
      <c r="H29" s="3">
        <v>110</v>
      </c>
      <c r="I29" s="5">
        <v>110</v>
      </c>
      <c r="J29" s="5">
        <f t="shared" si="1"/>
        <v>94.15</v>
      </c>
      <c r="K29" s="12" t="s">
        <v>131</v>
      </c>
    </row>
    <row r="30" spans="1:11" ht="15" x14ac:dyDescent="0.35">
      <c r="A30" s="10" t="s">
        <v>31</v>
      </c>
      <c r="B30" s="2">
        <v>117010076</v>
      </c>
      <c r="C30" s="5">
        <v>75.5</v>
      </c>
      <c r="D30" s="5">
        <f t="shared" si="0"/>
        <v>397</v>
      </c>
      <c r="E30" s="5">
        <v>1</v>
      </c>
      <c r="F30" s="3">
        <v>87</v>
      </c>
      <c r="G30" s="5">
        <v>100</v>
      </c>
      <c r="H30" s="3">
        <v>100</v>
      </c>
      <c r="I30" s="5">
        <v>110</v>
      </c>
      <c r="J30" s="5">
        <f t="shared" si="1"/>
        <v>93.35</v>
      </c>
      <c r="K30" s="12" t="s">
        <v>131</v>
      </c>
    </row>
    <row r="31" spans="1:11" ht="15" x14ac:dyDescent="0.35">
      <c r="A31" s="10" t="s">
        <v>53</v>
      </c>
      <c r="B31" s="2">
        <v>117010161</v>
      </c>
      <c r="C31" s="5">
        <v>72.5</v>
      </c>
      <c r="D31" s="5">
        <f t="shared" si="0"/>
        <v>401</v>
      </c>
      <c r="E31" s="5">
        <v>1</v>
      </c>
      <c r="F31" s="3">
        <v>72</v>
      </c>
      <c r="G31" s="5">
        <v>110</v>
      </c>
      <c r="H31" s="3">
        <v>110</v>
      </c>
      <c r="I31" s="5">
        <v>109</v>
      </c>
      <c r="J31" s="5">
        <f t="shared" si="1"/>
        <v>93.3</v>
      </c>
      <c r="K31" s="12" t="s">
        <v>131</v>
      </c>
    </row>
    <row r="32" spans="1:11" ht="15" x14ac:dyDescent="0.35">
      <c r="A32" s="10" t="s">
        <v>23</v>
      </c>
      <c r="B32" s="2">
        <v>117010053</v>
      </c>
      <c r="C32" s="5">
        <v>80</v>
      </c>
      <c r="D32" s="5">
        <f t="shared" si="0"/>
        <v>390</v>
      </c>
      <c r="E32" s="5">
        <v>1</v>
      </c>
      <c r="F32" s="3">
        <v>80</v>
      </c>
      <c r="G32" s="5">
        <v>90</v>
      </c>
      <c r="H32" s="3">
        <v>110</v>
      </c>
      <c r="I32" s="5">
        <v>110</v>
      </c>
      <c r="J32" s="5">
        <f t="shared" si="1"/>
        <v>93.25</v>
      </c>
      <c r="K32" s="12" t="s">
        <v>131</v>
      </c>
    </row>
    <row r="33" spans="1:11" ht="15" x14ac:dyDescent="0.35">
      <c r="A33" s="10" t="s">
        <v>75</v>
      </c>
      <c r="B33" s="2">
        <v>117010444</v>
      </c>
      <c r="C33" s="5">
        <v>81.5</v>
      </c>
      <c r="D33" s="5">
        <f t="shared" si="0"/>
        <v>387</v>
      </c>
      <c r="E33" s="5">
        <v>1</v>
      </c>
      <c r="F33" s="3">
        <v>87</v>
      </c>
      <c r="G33" s="5">
        <v>100</v>
      </c>
      <c r="H33" s="3">
        <v>100</v>
      </c>
      <c r="I33" s="5">
        <v>100</v>
      </c>
      <c r="J33" s="5">
        <f t="shared" si="1"/>
        <v>93.1</v>
      </c>
      <c r="K33" s="12" t="s">
        <v>131</v>
      </c>
    </row>
    <row r="34" spans="1:11" ht="15" x14ac:dyDescent="0.35">
      <c r="A34" s="10" t="s">
        <v>91</v>
      </c>
      <c r="B34" s="2">
        <v>118010348</v>
      </c>
      <c r="C34" s="5">
        <v>74.5</v>
      </c>
      <c r="D34" s="5">
        <f t="shared" ref="D34:D65" si="3">F34+G34+H34+I34</f>
        <v>397</v>
      </c>
      <c r="E34" s="5">
        <v>1</v>
      </c>
      <c r="F34" s="3">
        <v>78</v>
      </c>
      <c r="G34" s="5">
        <v>104</v>
      </c>
      <c r="H34" s="3">
        <v>105</v>
      </c>
      <c r="I34" s="5">
        <v>110</v>
      </c>
      <c r="J34" s="5">
        <f t="shared" ref="J34:J65" si="4">5*E34+0.175*F34+0.175*G34+0.175*H34+0.175*I34+0.25*C34</f>
        <v>93.1</v>
      </c>
      <c r="K34" s="12" t="s">
        <v>131</v>
      </c>
    </row>
    <row r="35" spans="1:11" ht="15" x14ac:dyDescent="0.35">
      <c r="A35" s="10" t="s">
        <v>36</v>
      </c>
      <c r="B35" s="2">
        <v>117010099</v>
      </c>
      <c r="C35" s="5">
        <v>77</v>
      </c>
      <c r="D35" s="5">
        <f t="shared" si="3"/>
        <v>393</v>
      </c>
      <c r="E35" s="5">
        <v>1</v>
      </c>
      <c r="F35" s="3">
        <v>70</v>
      </c>
      <c r="G35" s="5">
        <v>103</v>
      </c>
      <c r="H35" s="3">
        <v>110</v>
      </c>
      <c r="I35" s="5">
        <v>110</v>
      </c>
      <c r="J35" s="5">
        <f t="shared" si="4"/>
        <v>93.025000000000006</v>
      </c>
      <c r="K35" s="12" t="s">
        <v>131</v>
      </c>
    </row>
    <row r="36" spans="1:11" ht="15" x14ac:dyDescent="0.35">
      <c r="A36" s="10" t="s">
        <v>105</v>
      </c>
      <c r="B36" s="2">
        <v>117010375</v>
      </c>
      <c r="C36" s="5">
        <v>60</v>
      </c>
      <c r="D36" s="5">
        <f t="shared" si="3"/>
        <v>416</v>
      </c>
      <c r="E36" s="5">
        <v>1</v>
      </c>
      <c r="F36" s="3">
        <v>91</v>
      </c>
      <c r="G36" s="5">
        <v>110</v>
      </c>
      <c r="H36" s="3">
        <v>105</v>
      </c>
      <c r="I36" s="5">
        <v>110</v>
      </c>
      <c r="J36" s="5">
        <f t="shared" si="4"/>
        <v>92.8</v>
      </c>
      <c r="K36" s="12" t="s">
        <v>131</v>
      </c>
    </row>
    <row r="37" spans="1:11" ht="15" x14ac:dyDescent="0.35">
      <c r="A37" s="10" t="s">
        <v>89</v>
      </c>
      <c r="B37" s="2">
        <v>117010299</v>
      </c>
      <c r="C37" s="5">
        <v>78.5</v>
      </c>
      <c r="D37" s="5">
        <f t="shared" si="3"/>
        <v>388</v>
      </c>
      <c r="E37" s="5">
        <v>1</v>
      </c>
      <c r="F37" s="3">
        <v>81</v>
      </c>
      <c r="G37" s="5">
        <v>107</v>
      </c>
      <c r="H37" s="3">
        <v>100</v>
      </c>
      <c r="I37" s="5">
        <v>100</v>
      </c>
      <c r="J37" s="5">
        <f t="shared" si="4"/>
        <v>92.524999999999991</v>
      </c>
      <c r="K37" s="12" t="s">
        <v>131</v>
      </c>
    </row>
    <row r="38" spans="1:11" ht="15" x14ac:dyDescent="0.35">
      <c r="A38" s="10" t="s">
        <v>119</v>
      </c>
      <c r="B38" s="2">
        <v>118010442</v>
      </c>
      <c r="C38" s="5">
        <v>83.5</v>
      </c>
      <c r="D38" s="5">
        <f t="shared" si="3"/>
        <v>379</v>
      </c>
      <c r="E38" s="5">
        <v>1</v>
      </c>
      <c r="F38" s="3">
        <v>84</v>
      </c>
      <c r="G38" s="5">
        <v>75</v>
      </c>
      <c r="H38" s="3">
        <v>110</v>
      </c>
      <c r="I38" s="5">
        <v>110</v>
      </c>
      <c r="J38" s="5">
        <f t="shared" si="4"/>
        <v>92.2</v>
      </c>
      <c r="K38" s="12" t="s">
        <v>131</v>
      </c>
    </row>
    <row r="39" spans="1:11" ht="15" x14ac:dyDescent="0.35">
      <c r="A39" s="10" t="s">
        <v>20</v>
      </c>
      <c r="B39" s="2">
        <v>118010045</v>
      </c>
      <c r="C39" s="5">
        <v>70</v>
      </c>
      <c r="D39" s="5">
        <f t="shared" si="3"/>
        <v>398</v>
      </c>
      <c r="E39" s="5">
        <v>1</v>
      </c>
      <c r="F39" s="3">
        <v>78</v>
      </c>
      <c r="G39" s="5">
        <v>100</v>
      </c>
      <c r="H39" s="3">
        <v>110</v>
      </c>
      <c r="I39" s="5">
        <v>110</v>
      </c>
      <c r="J39" s="5">
        <f t="shared" si="4"/>
        <v>92.15</v>
      </c>
      <c r="K39" s="12" t="s">
        <v>131</v>
      </c>
    </row>
    <row r="40" spans="1:11" ht="15" x14ac:dyDescent="0.35">
      <c r="A40" s="10" t="s">
        <v>16</v>
      </c>
      <c r="B40" s="2">
        <v>117010032</v>
      </c>
      <c r="C40" s="5">
        <v>79</v>
      </c>
      <c r="D40" s="5">
        <f t="shared" si="3"/>
        <v>385</v>
      </c>
      <c r="E40" s="5">
        <v>1</v>
      </c>
      <c r="F40" s="3">
        <v>95</v>
      </c>
      <c r="G40" s="5">
        <v>90</v>
      </c>
      <c r="H40" s="3">
        <v>100</v>
      </c>
      <c r="I40" s="5">
        <v>100</v>
      </c>
      <c r="J40" s="5">
        <f t="shared" si="4"/>
        <v>92.125</v>
      </c>
      <c r="K40" s="12" t="s">
        <v>131</v>
      </c>
    </row>
    <row r="41" spans="1:11" ht="15" x14ac:dyDescent="0.35">
      <c r="A41" s="10" t="s">
        <v>96</v>
      </c>
      <c r="B41" s="2">
        <v>116010255</v>
      </c>
      <c r="C41" s="5">
        <v>78.5</v>
      </c>
      <c r="D41" s="5">
        <f t="shared" si="3"/>
        <v>382</v>
      </c>
      <c r="E41" s="5">
        <v>1</v>
      </c>
      <c r="F41" s="3">
        <v>84</v>
      </c>
      <c r="G41" s="5">
        <v>93</v>
      </c>
      <c r="H41" s="3">
        <v>100</v>
      </c>
      <c r="I41" s="5">
        <v>105</v>
      </c>
      <c r="J41" s="5">
        <f t="shared" si="4"/>
        <v>91.474999999999994</v>
      </c>
      <c r="K41" s="12" t="s">
        <v>132</v>
      </c>
    </row>
    <row r="42" spans="1:11" ht="15" x14ac:dyDescent="0.35">
      <c r="A42" s="10" t="s">
        <v>122</v>
      </c>
      <c r="B42" s="2">
        <v>117010420</v>
      </c>
      <c r="C42" s="5">
        <v>79</v>
      </c>
      <c r="D42" s="5">
        <f t="shared" si="3"/>
        <v>381</v>
      </c>
      <c r="E42" s="5">
        <v>1</v>
      </c>
      <c r="F42" s="3">
        <v>83</v>
      </c>
      <c r="G42" s="5">
        <v>85</v>
      </c>
      <c r="H42" s="3">
        <v>103</v>
      </c>
      <c r="I42" s="5">
        <v>110</v>
      </c>
      <c r="J42" s="5">
        <f t="shared" si="4"/>
        <v>91.424999999999997</v>
      </c>
      <c r="K42" s="12" t="s">
        <v>132</v>
      </c>
    </row>
    <row r="43" spans="1:11" ht="15" x14ac:dyDescent="0.35">
      <c r="A43" s="10" t="s">
        <v>24</v>
      </c>
      <c r="B43" s="2">
        <v>117010060</v>
      </c>
      <c r="C43" s="5">
        <v>74.5</v>
      </c>
      <c r="D43" s="5">
        <f t="shared" si="3"/>
        <v>387</v>
      </c>
      <c r="E43" s="5">
        <v>1</v>
      </c>
      <c r="F43" s="3">
        <v>92</v>
      </c>
      <c r="G43" s="5">
        <v>95</v>
      </c>
      <c r="H43" s="3">
        <v>100</v>
      </c>
      <c r="I43" s="5">
        <v>100</v>
      </c>
      <c r="J43" s="5">
        <f t="shared" si="4"/>
        <v>91.35</v>
      </c>
      <c r="K43" s="12" t="s">
        <v>132</v>
      </c>
    </row>
    <row r="44" spans="1:11" ht="15" x14ac:dyDescent="0.35">
      <c r="A44" s="10" t="s">
        <v>106</v>
      </c>
      <c r="B44" s="2">
        <v>117010376</v>
      </c>
      <c r="C44" s="5">
        <v>80.5</v>
      </c>
      <c r="D44" s="5">
        <f t="shared" si="3"/>
        <v>378</v>
      </c>
      <c r="E44" s="5">
        <v>1</v>
      </c>
      <c r="F44" s="3">
        <v>86</v>
      </c>
      <c r="G44" s="5">
        <v>87</v>
      </c>
      <c r="H44" s="3">
        <v>105</v>
      </c>
      <c r="I44" s="5">
        <v>100</v>
      </c>
      <c r="J44" s="5">
        <f t="shared" si="4"/>
        <v>91.275000000000006</v>
      </c>
      <c r="K44" s="12" t="s">
        <v>132</v>
      </c>
    </row>
    <row r="45" spans="1:11" ht="15" x14ac:dyDescent="0.35">
      <c r="A45" s="10" t="s">
        <v>123</v>
      </c>
      <c r="B45" s="2">
        <v>117010419</v>
      </c>
      <c r="C45" s="5">
        <v>75.5</v>
      </c>
      <c r="D45" s="5">
        <f t="shared" si="3"/>
        <v>385</v>
      </c>
      <c r="E45" s="5">
        <v>1</v>
      </c>
      <c r="F45" s="3">
        <v>85</v>
      </c>
      <c r="G45" s="5">
        <v>95</v>
      </c>
      <c r="H45" s="3">
        <v>100</v>
      </c>
      <c r="I45" s="5">
        <v>105</v>
      </c>
      <c r="J45" s="5">
        <f t="shared" si="4"/>
        <v>91.25</v>
      </c>
      <c r="K45" s="12" t="s">
        <v>132</v>
      </c>
    </row>
    <row r="46" spans="1:11" ht="15" x14ac:dyDescent="0.35">
      <c r="A46" s="10" t="s">
        <v>57</v>
      </c>
      <c r="B46" s="2">
        <v>118010184</v>
      </c>
      <c r="C46" s="5">
        <v>85</v>
      </c>
      <c r="D46" s="5">
        <f t="shared" si="3"/>
        <v>368</v>
      </c>
      <c r="E46" s="5">
        <v>1</v>
      </c>
      <c r="F46" s="3">
        <v>90</v>
      </c>
      <c r="G46" s="5">
        <v>95</v>
      </c>
      <c r="H46" s="3">
        <v>95</v>
      </c>
      <c r="I46" s="5">
        <v>88</v>
      </c>
      <c r="J46" s="5">
        <f t="shared" si="4"/>
        <v>90.65</v>
      </c>
      <c r="K46" s="12" t="s">
        <v>132</v>
      </c>
    </row>
    <row r="47" spans="1:11" ht="15" x14ac:dyDescent="0.35">
      <c r="A47" s="10" t="s">
        <v>25</v>
      </c>
      <c r="B47" s="2">
        <v>117010064</v>
      </c>
      <c r="C47" s="5">
        <v>63</v>
      </c>
      <c r="D47" s="5">
        <f t="shared" si="3"/>
        <v>399</v>
      </c>
      <c r="E47" s="5">
        <v>1</v>
      </c>
      <c r="F47" s="3">
        <v>81</v>
      </c>
      <c r="G47" s="5">
        <v>105</v>
      </c>
      <c r="H47" s="3">
        <v>110</v>
      </c>
      <c r="I47" s="5">
        <v>103</v>
      </c>
      <c r="J47" s="5">
        <f t="shared" si="4"/>
        <v>90.574999999999989</v>
      </c>
      <c r="K47" s="12" t="s">
        <v>132</v>
      </c>
    </row>
    <row r="48" spans="1:11" ht="15" x14ac:dyDescent="0.35">
      <c r="A48" s="10" t="s">
        <v>17</v>
      </c>
      <c r="B48" s="2">
        <v>117010038</v>
      </c>
      <c r="C48" s="5">
        <v>76</v>
      </c>
      <c r="D48" s="5">
        <f t="shared" si="3"/>
        <v>380</v>
      </c>
      <c r="E48" s="5">
        <v>1</v>
      </c>
      <c r="F48" s="3">
        <v>70</v>
      </c>
      <c r="G48" s="5">
        <v>110</v>
      </c>
      <c r="H48" s="3">
        <v>95</v>
      </c>
      <c r="I48" s="5">
        <v>105</v>
      </c>
      <c r="J48" s="5">
        <f t="shared" si="4"/>
        <v>90.5</v>
      </c>
      <c r="K48" s="12" t="s">
        <v>132</v>
      </c>
    </row>
    <row r="49" spans="1:11" ht="15" x14ac:dyDescent="0.35">
      <c r="A49" s="10" t="s">
        <v>38</v>
      </c>
      <c r="B49" s="2">
        <v>117030035</v>
      </c>
      <c r="C49" s="5">
        <v>65.5</v>
      </c>
      <c r="D49" s="5">
        <f t="shared" si="3"/>
        <v>395</v>
      </c>
      <c r="E49" s="5">
        <v>1</v>
      </c>
      <c r="F49" s="3">
        <v>85</v>
      </c>
      <c r="G49" s="5">
        <v>110</v>
      </c>
      <c r="H49" s="3">
        <v>105</v>
      </c>
      <c r="I49" s="5">
        <v>95</v>
      </c>
      <c r="J49" s="5">
        <f t="shared" si="4"/>
        <v>90.5</v>
      </c>
      <c r="K49" s="12" t="s">
        <v>132</v>
      </c>
    </row>
    <row r="50" spans="1:11" ht="15" x14ac:dyDescent="0.35">
      <c r="A50" s="10" t="s">
        <v>107</v>
      </c>
      <c r="B50" s="2">
        <v>117010378</v>
      </c>
      <c r="C50" s="5">
        <v>79</v>
      </c>
      <c r="D50" s="5">
        <f t="shared" si="3"/>
        <v>373</v>
      </c>
      <c r="E50" s="5">
        <v>1</v>
      </c>
      <c r="F50" s="3">
        <v>93</v>
      </c>
      <c r="G50" s="5">
        <v>80</v>
      </c>
      <c r="H50" s="3">
        <v>100</v>
      </c>
      <c r="I50" s="5">
        <v>100</v>
      </c>
      <c r="J50" s="5">
        <f t="shared" si="4"/>
        <v>90.025000000000006</v>
      </c>
      <c r="K50" s="12" t="s">
        <v>132</v>
      </c>
    </row>
    <row r="51" spans="1:11" ht="15" x14ac:dyDescent="0.35">
      <c r="A51" s="10" t="s">
        <v>65</v>
      </c>
      <c r="B51" s="2">
        <v>117010204</v>
      </c>
      <c r="C51" s="5">
        <v>83.5</v>
      </c>
      <c r="D51" s="5">
        <f t="shared" si="3"/>
        <v>366</v>
      </c>
      <c r="E51" s="5">
        <v>1</v>
      </c>
      <c r="F51" s="3">
        <v>81</v>
      </c>
      <c r="G51" s="5">
        <v>90</v>
      </c>
      <c r="H51" s="3">
        <v>95</v>
      </c>
      <c r="I51" s="5">
        <v>100</v>
      </c>
      <c r="J51" s="5">
        <f t="shared" si="4"/>
        <v>89.924999999999997</v>
      </c>
      <c r="K51" s="12" t="s">
        <v>132</v>
      </c>
    </row>
    <row r="52" spans="1:11" ht="15" x14ac:dyDescent="0.35">
      <c r="A52" s="10" t="s">
        <v>97</v>
      </c>
      <c r="B52" s="2">
        <v>118010367</v>
      </c>
      <c r="C52" s="5">
        <v>76</v>
      </c>
      <c r="D52" s="5">
        <f t="shared" si="3"/>
        <v>374</v>
      </c>
      <c r="E52" s="5">
        <v>1</v>
      </c>
      <c r="F52" s="3">
        <v>84</v>
      </c>
      <c r="G52" s="5">
        <v>110</v>
      </c>
      <c r="H52" s="3">
        <v>70</v>
      </c>
      <c r="I52" s="5">
        <v>110</v>
      </c>
      <c r="J52" s="5">
        <f t="shared" si="4"/>
        <v>89.45</v>
      </c>
      <c r="K52" s="12" t="s">
        <v>132</v>
      </c>
    </row>
    <row r="53" spans="1:11" ht="15" x14ac:dyDescent="0.35">
      <c r="A53" s="10" t="s">
        <v>15</v>
      </c>
      <c r="B53" s="2">
        <v>118010029</v>
      </c>
      <c r="C53" s="5">
        <v>76.5</v>
      </c>
      <c r="D53" s="5">
        <f t="shared" si="3"/>
        <v>373</v>
      </c>
      <c r="E53" s="5">
        <v>1</v>
      </c>
      <c r="F53" s="3">
        <v>78</v>
      </c>
      <c r="G53" s="5">
        <v>100</v>
      </c>
      <c r="H53" s="3">
        <v>95</v>
      </c>
      <c r="I53" s="5">
        <v>100</v>
      </c>
      <c r="J53" s="5">
        <f t="shared" si="4"/>
        <v>89.4</v>
      </c>
      <c r="K53" s="12" t="s">
        <v>132</v>
      </c>
    </row>
    <row r="54" spans="1:11" ht="15" x14ac:dyDescent="0.35">
      <c r="A54" s="10" t="s">
        <v>52</v>
      </c>
      <c r="B54" s="2">
        <v>117010158</v>
      </c>
      <c r="C54" s="5">
        <v>80</v>
      </c>
      <c r="D54" s="5">
        <f t="shared" si="3"/>
        <v>368</v>
      </c>
      <c r="E54" s="5">
        <v>1</v>
      </c>
      <c r="F54" s="3">
        <v>80</v>
      </c>
      <c r="G54" s="5">
        <v>90</v>
      </c>
      <c r="H54" s="3">
        <v>100</v>
      </c>
      <c r="I54" s="5">
        <v>98</v>
      </c>
      <c r="J54" s="5">
        <f t="shared" si="4"/>
        <v>89.4</v>
      </c>
      <c r="K54" s="12" t="s">
        <v>132</v>
      </c>
    </row>
    <row r="55" spans="1:11" ht="15" x14ac:dyDescent="0.35">
      <c r="A55" s="10" t="s">
        <v>72</v>
      </c>
      <c r="B55" s="2">
        <v>117010225</v>
      </c>
      <c r="C55" s="5">
        <v>72.5</v>
      </c>
      <c r="D55" s="5">
        <f t="shared" si="3"/>
        <v>378</v>
      </c>
      <c r="E55" s="5">
        <v>1</v>
      </c>
      <c r="F55" s="3">
        <v>88</v>
      </c>
      <c r="G55" s="5">
        <v>100</v>
      </c>
      <c r="H55" s="3">
        <v>100</v>
      </c>
      <c r="I55" s="5">
        <v>90</v>
      </c>
      <c r="J55" s="5">
        <f t="shared" si="4"/>
        <v>89.274999999999991</v>
      </c>
      <c r="K55" s="12" t="s">
        <v>132</v>
      </c>
    </row>
    <row r="56" spans="1:11" ht="15" x14ac:dyDescent="0.35">
      <c r="A56" s="10" t="s">
        <v>84</v>
      </c>
      <c r="B56" s="2">
        <v>118010310</v>
      </c>
      <c r="C56" s="5">
        <v>71</v>
      </c>
      <c r="D56" s="5">
        <f t="shared" si="3"/>
        <v>380</v>
      </c>
      <c r="E56" s="5">
        <v>1</v>
      </c>
      <c r="F56" s="3">
        <v>75</v>
      </c>
      <c r="G56" s="5">
        <v>85</v>
      </c>
      <c r="H56" s="3">
        <v>110</v>
      </c>
      <c r="I56" s="5">
        <v>110</v>
      </c>
      <c r="J56" s="5">
        <f t="shared" si="4"/>
        <v>89.25</v>
      </c>
      <c r="K56" s="12" t="s">
        <v>132</v>
      </c>
    </row>
    <row r="57" spans="1:11" ht="15" x14ac:dyDescent="0.35">
      <c r="A57" s="10" t="s">
        <v>120</v>
      </c>
      <c r="B57" s="2">
        <v>117010408</v>
      </c>
      <c r="C57" s="5">
        <v>53.5</v>
      </c>
      <c r="D57" s="5">
        <f t="shared" si="3"/>
        <v>404</v>
      </c>
      <c r="E57" s="5">
        <v>1</v>
      </c>
      <c r="F57" s="3">
        <v>84</v>
      </c>
      <c r="G57" s="5">
        <v>100</v>
      </c>
      <c r="H57" s="3">
        <v>110</v>
      </c>
      <c r="I57" s="5">
        <v>110</v>
      </c>
      <c r="J57" s="5">
        <f t="shared" si="4"/>
        <v>89.075000000000003</v>
      </c>
      <c r="K57" s="12" t="s">
        <v>132</v>
      </c>
    </row>
    <row r="58" spans="1:11" ht="15" x14ac:dyDescent="0.35">
      <c r="A58" s="10" t="s">
        <v>14</v>
      </c>
      <c r="B58" s="2">
        <v>117010031</v>
      </c>
      <c r="C58" s="5">
        <v>73.5</v>
      </c>
      <c r="D58" s="5">
        <f t="shared" si="3"/>
        <v>375</v>
      </c>
      <c r="E58" s="5">
        <v>1</v>
      </c>
      <c r="F58" s="3">
        <v>75</v>
      </c>
      <c r="G58" s="5">
        <v>90</v>
      </c>
      <c r="H58" s="3">
        <v>100</v>
      </c>
      <c r="I58" s="5">
        <v>110</v>
      </c>
      <c r="J58" s="5">
        <f t="shared" si="4"/>
        <v>89</v>
      </c>
      <c r="K58" s="12" t="s">
        <v>132</v>
      </c>
    </row>
    <row r="59" spans="1:11" ht="15" x14ac:dyDescent="0.35">
      <c r="A59" s="10" t="s">
        <v>48</v>
      </c>
      <c r="B59" s="2">
        <v>117010151</v>
      </c>
      <c r="C59" s="5">
        <v>74</v>
      </c>
      <c r="D59" s="5">
        <f t="shared" si="3"/>
        <v>372</v>
      </c>
      <c r="E59" s="5">
        <v>1</v>
      </c>
      <c r="F59" s="3">
        <v>74</v>
      </c>
      <c r="G59" s="5">
        <v>110</v>
      </c>
      <c r="H59" s="3">
        <v>90</v>
      </c>
      <c r="I59" s="5">
        <v>98</v>
      </c>
      <c r="J59" s="5">
        <f t="shared" si="4"/>
        <v>88.6</v>
      </c>
      <c r="K59" s="12" t="s">
        <v>132</v>
      </c>
    </row>
    <row r="60" spans="1:11" ht="15" x14ac:dyDescent="0.35">
      <c r="A60" s="10" t="s">
        <v>30</v>
      </c>
      <c r="B60" s="2">
        <v>117010074</v>
      </c>
      <c r="C60" s="5">
        <v>64.5</v>
      </c>
      <c r="D60" s="5">
        <f t="shared" si="3"/>
        <v>384</v>
      </c>
      <c r="E60" s="5">
        <v>1</v>
      </c>
      <c r="F60" s="3">
        <v>86</v>
      </c>
      <c r="G60" s="5">
        <v>100</v>
      </c>
      <c r="H60" s="3">
        <v>100</v>
      </c>
      <c r="I60" s="5">
        <v>98</v>
      </c>
      <c r="J60" s="5">
        <f t="shared" si="4"/>
        <v>88.324999999999989</v>
      </c>
      <c r="K60" s="12" t="s">
        <v>132</v>
      </c>
    </row>
    <row r="61" spans="1:11" ht="15" x14ac:dyDescent="0.35">
      <c r="A61" s="10" t="s">
        <v>34</v>
      </c>
      <c r="B61" s="2">
        <v>117010091</v>
      </c>
      <c r="C61" s="5">
        <v>70.5</v>
      </c>
      <c r="D61" s="5">
        <f t="shared" si="3"/>
        <v>375</v>
      </c>
      <c r="E61" s="5">
        <v>1</v>
      </c>
      <c r="F61" s="3">
        <v>80</v>
      </c>
      <c r="G61" s="5">
        <v>95</v>
      </c>
      <c r="H61" s="3">
        <v>100</v>
      </c>
      <c r="I61" s="5">
        <v>100</v>
      </c>
      <c r="J61" s="5">
        <f t="shared" si="4"/>
        <v>88.25</v>
      </c>
      <c r="K61" s="12" t="s">
        <v>132</v>
      </c>
    </row>
    <row r="62" spans="1:11" ht="15" x14ac:dyDescent="0.35">
      <c r="A62" s="10" t="s">
        <v>66</v>
      </c>
      <c r="B62" s="2">
        <v>117010217</v>
      </c>
      <c r="C62" s="5">
        <v>71.5</v>
      </c>
      <c r="D62" s="5">
        <f t="shared" si="3"/>
        <v>373</v>
      </c>
      <c r="E62" s="5">
        <v>1</v>
      </c>
      <c r="F62" s="3">
        <v>90</v>
      </c>
      <c r="G62" s="5">
        <v>90</v>
      </c>
      <c r="H62" s="3">
        <v>100</v>
      </c>
      <c r="I62" s="5">
        <v>93</v>
      </c>
      <c r="J62" s="5">
        <f t="shared" si="4"/>
        <v>88.15</v>
      </c>
      <c r="K62" s="12" t="s">
        <v>132</v>
      </c>
    </row>
    <row r="63" spans="1:11" ht="15" x14ac:dyDescent="0.35">
      <c r="A63" s="10" t="s">
        <v>56</v>
      </c>
      <c r="B63" s="2">
        <v>117010164</v>
      </c>
      <c r="C63" s="5">
        <v>72.5</v>
      </c>
      <c r="D63" s="5">
        <f t="shared" si="3"/>
        <v>371</v>
      </c>
      <c r="E63" s="5">
        <v>1</v>
      </c>
      <c r="F63" s="3">
        <v>91</v>
      </c>
      <c r="G63" s="5">
        <v>85</v>
      </c>
      <c r="H63" s="3">
        <v>100</v>
      </c>
      <c r="I63" s="5">
        <v>95</v>
      </c>
      <c r="J63" s="5">
        <f t="shared" si="4"/>
        <v>88.05</v>
      </c>
      <c r="K63" s="12" t="s">
        <v>132</v>
      </c>
    </row>
    <row r="64" spans="1:11" ht="15" x14ac:dyDescent="0.35">
      <c r="A64" s="10" t="s">
        <v>62</v>
      </c>
      <c r="B64" s="2">
        <v>117010200</v>
      </c>
      <c r="C64" s="5">
        <v>76</v>
      </c>
      <c r="D64" s="5">
        <f t="shared" si="3"/>
        <v>365</v>
      </c>
      <c r="E64" s="5">
        <v>1</v>
      </c>
      <c r="F64" s="3">
        <v>70</v>
      </c>
      <c r="G64" s="5">
        <v>75</v>
      </c>
      <c r="H64" s="3">
        <v>110</v>
      </c>
      <c r="I64" s="5">
        <v>110</v>
      </c>
      <c r="J64" s="5">
        <f t="shared" si="4"/>
        <v>87.875</v>
      </c>
      <c r="K64" s="12" t="s">
        <v>133</v>
      </c>
    </row>
    <row r="65" spans="1:11" ht="15" x14ac:dyDescent="0.35">
      <c r="A65" s="10" t="s">
        <v>79</v>
      </c>
      <c r="B65" s="2">
        <v>118020061</v>
      </c>
      <c r="C65" s="5">
        <v>66</v>
      </c>
      <c r="D65" s="5">
        <f t="shared" si="3"/>
        <v>379</v>
      </c>
      <c r="E65" s="5">
        <v>1</v>
      </c>
      <c r="F65" s="3">
        <v>89</v>
      </c>
      <c r="G65" s="5">
        <v>85</v>
      </c>
      <c r="H65" s="3">
        <v>110</v>
      </c>
      <c r="I65" s="5">
        <v>95</v>
      </c>
      <c r="J65" s="5">
        <f t="shared" si="4"/>
        <v>87.824999999999989</v>
      </c>
      <c r="K65" s="12" t="s">
        <v>133</v>
      </c>
    </row>
    <row r="66" spans="1:11" ht="28.3" x14ac:dyDescent="0.35">
      <c r="A66" s="10" t="s">
        <v>64</v>
      </c>
      <c r="B66" s="2">
        <v>118010485</v>
      </c>
      <c r="C66" s="5">
        <v>77</v>
      </c>
      <c r="D66" s="5">
        <f t="shared" ref="D66:D97" si="5">F66+G66+H66+I66</f>
        <v>363</v>
      </c>
      <c r="E66" s="5">
        <v>1</v>
      </c>
      <c r="F66" s="3">
        <v>80</v>
      </c>
      <c r="G66" s="5">
        <v>93</v>
      </c>
      <c r="H66" s="3">
        <v>100</v>
      </c>
      <c r="I66" s="5">
        <v>90</v>
      </c>
      <c r="J66" s="5">
        <f t="shared" ref="J66:J97" si="6">5*E66+0.175*F66+0.175*G66+0.175*H66+0.175*I66+0.25*C66</f>
        <v>87.774999999999991</v>
      </c>
      <c r="K66" s="12" t="s">
        <v>133</v>
      </c>
    </row>
    <row r="67" spans="1:11" ht="15" x14ac:dyDescent="0.35">
      <c r="A67" s="10" t="s">
        <v>90</v>
      </c>
      <c r="B67" s="2">
        <v>117010301</v>
      </c>
      <c r="C67" s="5">
        <v>69.5</v>
      </c>
      <c r="D67" s="5">
        <f t="shared" si="5"/>
        <v>373</v>
      </c>
      <c r="E67" s="5">
        <v>1</v>
      </c>
      <c r="F67" s="3">
        <v>80</v>
      </c>
      <c r="G67" s="5">
        <v>83</v>
      </c>
      <c r="H67" s="3">
        <v>110</v>
      </c>
      <c r="I67" s="5">
        <v>100</v>
      </c>
      <c r="J67" s="5">
        <f t="shared" si="6"/>
        <v>87.65</v>
      </c>
      <c r="K67" s="12" t="s">
        <v>133</v>
      </c>
    </row>
    <row r="68" spans="1:11" ht="15" x14ac:dyDescent="0.35">
      <c r="A68" s="10" t="s">
        <v>54</v>
      </c>
      <c r="B68" s="2">
        <v>117010162</v>
      </c>
      <c r="C68" s="5">
        <v>61</v>
      </c>
      <c r="D68" s="5">
        <f t="shared" si="5"/>
        <v>380</v>
      </c>
      <c r="E68" s="5">
        <v>1</v>
      </c>
      <c r="F68" s="3">
        <v>90</v>
      </c>
      <c r="G68" s="5">
        <v>95</v>
      </c>
      <c r="H68" s="3">
        <v>100</v>
      </c>
      <c r="I68" s="5">
        <v>95</v>
      </c>
      <c r="J68" s="5">
        <f t="shared" si="6"/>
        <v>86.75</v>
      </c>
      <c r="K68" s="12" t="s">
        <v>133</v>
      </c>
    </row>
    <row r="69" spans="1:11" ht="15" x14ac:dyDescent="0.35">
      <c r="A69" s="10" t="s">
        <v>27</v>
      </c>
      <c r="B69" s="2">
        <v>118010075</v>
      </c>
      <c r="C69" s="5">
        <v>72.5</v>
      </c>
      <c r="D69" s="5">
        <f t="shared" si="5"/>
        <v>362</v>
      </c>
      <c r="E69" s="5">
        <v>1</v>
      </c>
      <c r="F69" s="3">
        <v>60</v>
      </c>
      <c r="G69" s="5">
        <v>102</v>
      </c>
      <c r="H69" s="3">
        <v>100</v>
      </c>
      <c r="I69" s="5">
        <v>100</v>
      </c>
      <c r="J69" s="5">
        <f t="shared" si="6"/>
        <v>86.474999999999994</v>
      </c>
      <c r="K69" s="12" t="s">
        <v>133</v>
      </c>
    </row>
    <row r="70" spans="1:11" ht="15" x14ac:dyDescent="0.35">
      <c r="A70" s="10" t="s">
        <v>70</v>
      </c>
      <c r="B70" s="2">
        <v>117010224</v>
      </c>
      <c r="C70" s="5">
        <v>69</v>
      </c>
      <c r="D70" s="5">
        <f t="shared" si="5"/>
        <v>365</v>
      </c>
      <c r="E70" s="5">
        <v>1</v>
      </c>
      <c r="F70" s="3">
        <v>80</v>
      </c>
      <c r="G70" s="5">
        <v>85</v>
      </c>
      <c r="H70" s="3">
        <v>100</v>
      </c>
      <c r="I70" s="5">
        <v>100</v>
      </c>
      <c r="J70" s="5">
        <f t="shared" si="6"/>
        <v>86.125</v>
      </c>
      <c r="K70" s="12" t="s">
        <v>133</v>
      </c>
    </row>
    <row r="71" spans="1:11" ht="15" x14ac:dyDescent="0.35">
      <c r="A71" s="10" t="s">
        <v>77</v>
      </c>
      <c r="B71" s="2">
        <v>117010261</v>
      </c>
      <c r="C71" s="5">
        <v>55.5</v>
      </c>
      <c r="D71" s="5">
        <f t="shared" si="5"/>
        <v>380</v>
      </c>
      <c r="E71" s="5">
        <v>1</v>
      </c>
      <c r="F71" s="3">
        <v>77</v>
      </c>
      <c r="G71" s="5">
        <v>100</v>
      </c>
      <c r="H71" s="3">
        <v>100</v>
      </c>
      <c r="I71" s="5">
        <v>103</v>
      </c>
      <c r="J71" s="5">
        <f t="shared" si="6"/>
        <v>85.375</v>
      </c>
      <c r="K71" s="12" t="s">
        <v>133</v>
      </c>
    </row>
    <row r="72" spans="1:11" ht="15" x14ac:dyDescent="0.35">
      <c r="A72" s="10" t="s">
        <v>110</v>
      </c>
      <c r="B72" s="2">
        <v>117010385</v>
      </c>
      <c r="C72" s="5">
        <v>66.5</v>
      </c>
      <c r="D72" s="5">
        <f t="shared" si="5"/>
        <v>363</v>
      </c>
      <c r="E72" s="5">
        <v>1</v>
      </c>
      <c r="F72" s="3">
        <v>78</v>
      </c>
      <c r="G72" s="5">
        <v>85</v>
      </c>
      <c r="H72" s="3">
        <v>100</v>
      </c>
      <c r="I72" s="5">
        <v>100</v>
      </c>
      <c r="J72" s="5">
        <f t="shared" si="6"/>
        <v>85.15</v>
      </c>
      <c r="K72" s="12" t="s">
        <v>133</v>
      </c>
    </row>
    <row r="73" spans="1:11" ht="15" x14ac:dyDescent="0.35">
      <c r="A73" s="10" t="s">
        <v>100</v>
      </c>
      <c r="B73" s="2">
        <v>118010378</v>
      </c>
      <c r="C73" s="5">
        <v>74</v>
      </c>
      <c r="D73" s="5">
        <f t="shared" si="5"/>
        <v>351</v>
      </c>
      <c r="E73" s="5">
        <v>1</v>
      </c>
      <c r="F73" s="3">
        <v>91</v>
      </c>
      <c r="G73" s="5">
        <v>85</v>
      </c>
      <c r="H73" s="3">
        <v>80</v>
      </c>
      <c r="I73" s="5">
        <v>95</v>
      </c>
      <c r="J73" s="5">
        <f t="shared" si="6"/>
        <v>84.924999999999997</v>
      </c>
      <c r="K73" s="12" t="s">
        <v>133</v>
      </c>
    </row>
    <row r="74" spans="1:11" ht="15" x14ac:dyDescent="0.35">
      <c r="A74" s="10" t="s">
        <v>78</v>
      </c>
      <c r="B74" s="2">
        <v>117010262</v>
      </c>
      <c r="C74" s="5">
        <v>67.5</v>
      </c>
      <c r="D74" s="5">
        <f t="shared" si="5"/>
        <v>359</v>
      </c>
      <c r="E74" s="5">
        <v>1</v>
      </c>
      <c r="F74" s="3">
        <v>69</v>
      </c>
      <c r="G74" s="5">
        <v>100</v>
      </c>
      <c r="H74" s="3">
        <v>90</v>
      </c>
      <c r="I74" s="5">
        <v>100</v>
      </c>
      <c r="J74" s="5">
        <f t="shared" si="6"/>
        <v>84.7</v>
      </c>
      <c r="K74" s="12" t="s">
        <v>133</v>
      </c>
    </row>
    <row r="75" spans="1:11" ht="15" x14ac:dyDescent="0.35">
      <c r="A75" s="10" t="s">
        <v>35</v>
      </c>
      <c r="B75" s="2">
        <v>117010097</v>
      </c>
      <c r="C75" s="5">
        <v>63</v>
      </c>
      <c r="D75" s="5">
        <f t="shared" si="5"/>
        <v>364</v>
      </c>
      <c r="E75" s="5">
        <v>1</v>
      </c>
      <c r="F75" s="3">
        <v>79</v>
      </c>
      <c r="G75" s="5">
        <v>100</v>
      </c>
      <c r="H75" s="3">
        <v>90</v>
      </c>
      <c r="I75" s="5">
        <v>95</v>
      </c>
      <c r="J75" s="5">
        <f t="shared" si="6"/>
        <v>84.45</v>
      </c>
      <c r="K75" s="12" t="s">
        <v>133</v>
      </c>
    </row>
    <row r="76" spans="1:11" ht="15" x14ac:dyDescent="0.35">
      <c r="A76" s="10" t="s">
        <v>10</v>
      </c>
      <c r="B76" s="2">
        <v>117010013</v>
      </c>
      <c r="C76" s="5">
        <v>72.5</v>
      </c>
      <c r="D76" s="5">
        <f t="shared" si="5"/>
        <v>347</v>
      </c>
      <c r="E76" s="5">
        <v>1</v>
      </c>
      <c r="F76" s="3">
        <v>82</v>
      </c>
      <c r="G76" s="5">
        <v>80</v>
      </c>
      <c r="H76" s="3">
        <v>80</v>
      </c>
      <c r="I76" s="5">
        <v>105</v>
      </c>
      <c r="J76" s="5">
        <f t="shared" si="6"/>
        <v>83.85</v>
      </c>
      <c r="K76" s="12" t="s">
        <v>133</v>
      </c>
    </row>
    <row r="77" spans="1:11" ht="15" x14ac:dyDescent="0.35">
      <c r="A77" s="10" t="s">
        <v>104</v>
      </c>
      <c r="B77" s="2">
        <v>117010369</v>
      </c>
      <c r="C77" s="5">
        <v>78.5</v>
      </c>
      <c r="D77" s="5">
        <f t="shared" si="5"/>
        <v>335</v>
      </c>
      <c r="E77" s="5">
        <v>1</v>
      </c>
      <c r="F77" s="3">
        <v>82</v>
      </c>
      <c r="G77" s="5">
        <v>75</v>
      </c>
      <c r="H77" s="3">
        <v>95</v>
      </c>
      <c r="I77" s="5">
        <v>83</v>
      </c>
      <c r="J77" s="5">
        <f t="shared" si="6"/>
        <v>83.25</v>
      </c>
      <c r="K77" s="12" t="s">
        <v>133</v>
      </c>
    </row>
    <row r="78" spans="1:11" ht="15" x14ac:dyDescent="0.35">
      <c r="A78" s="10" t="s">
        <v>85</v>
      </c>
      <c r="B78" s="2">
        <v>117010273</v>
      </c>
      <c r="C78" s="5">
        <v>86.5</v>
      </c>
      <c r="D78" s="5">
        <f t="shared" si="5"/>
        <v>323</v>
      </c>
      <c r="E78" s="5">
        <v>1</v>
      </c>
      <c r="F78" s="3">
        <v>80</v>
      </c>
      <c r="G78" s="5">
        <v>60</v>
      </c>
      <c r="H78" s="3">
        <v>95</v>
      </c>
      <c r="I78" s="5">
        <v>88</v>
      </c>
      <c r="J78" s="5">
        <f t="shared" si="6"/>
        <v>83.15</v>
      </c>
      <c r="K78" s="12" t="s">
        <v>133</v>
      </c>
    </row>
    <row r="79" spans="1:11" ht="15" x14ac:dyDescent="0.35">
      <c r="A79" s="10" t="s">
        <v>82</v>
      </c>
      <c r="B79" s="2">
        <v>117010266</v>
      </c>
      <c r="C79" s="5">
        <v>71.5</v>
      </c>
      <c r="D79" s="5">
        <f t="shared" si="5"/>
        <v>342</v>
      </c>
      <c r="E79" s="5">
        <v>1</v>
      </c>
      <c r="F79" s="3">
        <v>75</v>
      </c>
      <c r="G79" s="5">
        <v>80</v>
      </c>
      <c r="H79" s="3">
        <v>95</v>
      </c>
      <c r="I79" s="5">
        <v>92</v>
      </c>
      <c r="J79" s="5">
        <f t="shared" si="6"/>
        <v>82.724999999999994</v>
      </c>
      <c r="K79" s="12" t="s">
        <v>133</v>
      </c>
    </row>
    <row r="80" spans="1:11" ht="15" x14ac:dyDescent="0.35">
      <c r="A80" s="10" t="s">
        <v>95</v>
      </c>
      <c r="B80" s="2">
        <v>117010326</v>
      </c>
      <c r="C80" s="5">
        <v>67</v>
      </c>
      <c r="D80" s="5">
        <f t="shared" si="5"/>
        <v>345</v>
      </c>
      <c r="E80" s="5">
        <v>1</v>
      </c>
      <c r="F80" s="3">
        <v>65</v>
      </c>
      <c r="G80" s="5">
        <v>87</v>
      </c>
      <c r="H80" s="3">
        <v>100</v>
      </c>
      <c r="I80" s="5">
        <v>93</v>
      </c>
      <c r="J80" s="5">
        <f t="shared" si="6"/>
        <v>82.125</v>
      </c>
      <c r="K80" s="12" t="s">
        <v>133</v>
      </c>
    </row>
    <row r="81" spans="1:11" ht="15" x14ac:dyDescent="0.35">
      <c r="A81" s="10" t="s">
        <v>112</v>
      </c>
      <c r="B81" s="2">
        <v>116010299</v>
      </c>
      <c r="C81" s="5">
        <v>72.5</v>
      </c>
      <c r="D81" s="5">
        <f t="shared" si="5"/>
        <v>335</v>
      </c>
      <c r="E81" s="5">
        <v>1</v>
      </c>
      <c r="F81" s="3">
        <v>55</v>
      </c>
      <c r="G81" s="5">
        <v>80</v>
      </c>
      <c r="H81" s="3">
        <v>100</v>
      </c>
      <c r="I81" s="5">
        <v>100</v>
      </c>
      <c r="J81" s="5">
        <f t="shared" si="6"/>
        <v>81.75</v>
      </c>
      <c r="K81" s="12" t="s">
        <v>133</v>
      </c>
    </row>
    <row r="82" spans="1:11" ht="15" x14ac:dyDescent="0.35">
      <c r="A82" s="10" t="s">
        <v>12</v>
      </c>
      <c r="B82" s="2">
        <v>117010027</v>
      </c>
      <c r="C82" s="5">
        <v>75.5</v>
      </c>
      <c r="D82" s="5">
        <f t="shared" si="5"/>
        <v>328</v>
      </c>
      <c r="E82" s="5">
        <v>1</v>
      </c>
      <c r="F82" s="3">
        <v>88</v>
      </c>
      <c r="G82" s="5">
        <v>110</v>
      </c>
      <c r="H82" s="3">
        <v>20</v>
      </c>
      <c r="I82" s="5">
        <v>110</v>
      </c>
      <c r="J82" s="5">
        <f t="shared" si="6"/>
        <v>81.275000000000006</v>
      </c>
      <c r="K82" s="12" t="s">
        <v>133</v>
      </c>
    </row>
    <row r="83" spans="1:11" ht="15" x14ac:dyDescent="0.35">
      <c r="A83" s="11" t="s">
        <v>128</v>
      </c>
      <c r="B83" s="6">
        <v>116020190</v>
      </c>
      <c r="C83" s="4">
        <v>75.5</v>
      </c>
      <c r="D83" s="5">
        <f t="shared" si="5"/>
        <v>355</v>
      </c>
      <c r="E83" s="5">
        <v>0</v>
      </c>
      <c r="F83" s="3">
        <v>80</v>
      </c>
      <c r="G83" s="5">
        <v>95</v>
      </c>
      <c r="H83" s="3">
        <v>90</v>
      </c>
      <c r="I83" s="5">
        <v>90</v>
      </c>
      <c r="J83" s="5">
        <f t="shared" si="6"/>
        <v>81</v>
      </c>
      <c r="K83" s="12" t="s">
        <v>133</v>
      </c>
    </row>
    <row r="84" spans="1:11" ht="15" x14ac:dyDescent="0.35">
      <c r="A84" s="10" t="s">
        <v>108</v>
      </c>
      <c r="B84" s="2">
        <v>117010380</v>
      </c>
      <c r="C84" s="5">
        <v>64</v>
      </c>
      <c r="D84" s="5">
        <f t="shared" si="5"/>
        <v>342</v>
      </c>
      <c r="E84" s="5">
        <v>1</v>
      </c>
      <c r="F84" s="3">
        <v>89</v>
      </c>
      <c r="G84" s="5">
        <v>60</v>
      </c>
      <c r="H84" s="3">
        <v>100</v>
      </c>
      <c r="I84" s="5">
        <v>93</v>
      </c>
      <c r="J84" s="5">
        <f t="shared" si="6"/>
        <v>80.849999999999994</v>
      </c>
      <c r="K84" s="12" t="s">
        <v>133</v>
      </c>
    </row>
    <row r="85" spans="1:11" ht="15" x14ac:dyDescent="0.35">
      <c r="A85" s="10" t="s">
        <v>94</v>
      </c>
      <c r="B85" s="2">
        <v>117010324</v>
      </c>
      <c r="C85" s="5">
        <v>59</v>
      </c>
      <c r="D85" s="5">
        <f t="shared" si="5"/>
        <v>349</v>
      </c>
      <c r="E85" s="5">
        <v>1</v>
      </c>
      <c r="F85" s="3">
        <v>80</v>
      </c>
      <c r="G85" s="5">
        <v>100</v>
      </c>
      <c r="H85" s="3">
        <v>90</v>
      </c>
      <c r="I85" s="5">
        <v>79</v>
      </c>
      <c r="J85" s="5">
        <f t="shared" si="6"/>
        <v>80.825000000000003</v>
      </c>
      <c r="K85" s="12" t="s">
        <v>133</v>
      </c>
    </row>
    <row r="86" spans="1:11" ht="15" x14ac:dyDescent="0.35">
      <c r="A86" s="10" t="s">
        <v>109</v>
      </c>
      <c r="B86" s="2">
        <v>117010383</v>
      </c>
      <c r="C86" s="5">
        <v>45</v>
      </c>
      <c r="D86" s="5">
        <f t="shared" si="5"/>
        <v>368</v>
      </c>
      <c r="E86" s="5">
        <v>1</v>
      </c>
      <c r="F86" s="3">
        <v>68</v>
      </c>
      <c r="G86" s="5">
        <v>100</v>
      </c>
      <c r="H86" s="3">
        <v>100</v>
      </c>
      <c r="I86" s="5">
        <v>100</v>
      </c>
      <c r="J86" s="5">
        <f t="shared" si="6"/>
        <v>80.650000000000006</v>
      </c>
      <c r="K86" s="12" t="s">
        <v>133</v>
      </c>
    </row>
    <row r="87" spans="1:11" ht="15" x14ac:dyDescent="0.35">
      <c r="A87" s="10" t="s">
        <v>51</v>
      </c>
      <c r="B87" s="2">
        <v>117010155</v>
      </c>
      <c r="C87" s="5">
        <v>73.5</v>
      </c>
      <c r="D87" s="5">
        <f t="shared" si="5"/>
        <v>345</v>
      </c>
      <c r="E87" s="5">
        <v>0</v>
      </c>
      <c r="F87" s="3">
        <v>45</v>
      </c>
      <c r="G87" s="5">
        <v>100</v>
      </c>
      <c r="H87" s="3">
        <v>110</v>
      </c>
      <c r="I87" s="5">
        <v>90</v>
      </c>
      <c r="J87" s="5">
        <f t="shared" si="6"/>
        <v>78.75</v>
      </c>
      <c r="K87" s="12" t="s">
        <v>134</v>
      </c>
    </row>
    <row r="88" spans="1:11" ht="15" x14ac:dyDescent="0.35">
      <c r="A88" s="10" t="s">
        <v>45</v>
      </c>
      <c r="B88" s="2">
        <v>117010142</v>
      </c>
      <c r="C88" s="5">
        <v>69</v>
      </c>
      <c r="D88" s="5">
        <f t="shared" si="5"/>
        <v>321</v>
      </c>
      <c r="E88" s="5">
        <v>1</v>
      </c>
      <c r="F88" s="3">
        <v>63</v>
      </c>
      <c r="G88" s="5">
        <v>65</v>
      </c>
      <c r="H88" s="3">
        <v>100</v>
      </c>
      <c r="I88" s="5">
        <v>93</v>
      </c>
      <c r="J88" s="5">
        <f t="shared" si="6"/>
        <v>78.424999999999997</v>
      </c>
      <c r="K88" s="12" t="s">
        <v>134</v>
      </c>
    </row>
    <row r="89" spans="1:11" ht="15" x14ac:dyDescent="0.35">
      <c r="A89" s="10" t="s">
        <v>114</v>
      </c>
      <c r="B89" s="2">
        <v>117010390</v>
      </c>
      <c r="C89" s="5">
        <v>47.5</v>
      </c>
      <c r="D89" s="5">
        <f t="shared" si="5"/>
        <v>350</v>
      </c>
      <c r="E89" s="5">
        <v>1</v>
      </c>
      <c r="F89" s="3">
        <v>68</v>
      </c>
      <c r="G89" s="5">
        <v>90</v>
      </c>
      <c r="H89" s="3">
        <v>100</v>
      </c>
      <c r="I89" s="5">
        <v>92</v>
      </c>
      <c r="J89" s="5">
        <f t="shared" si="6"/>
        <v>78.125</v>
      </c>
      <c r="K89" s="12" t="s">
        <v>134</v>
      </c>
    </row>
    <row r="90" spans="1:11" ht="15" x14ac:dyDescent="0.35">
      <c r="A90" s="10" t="s">
        <v>28</v>
      </c>
      <c r="B90" s="2">
        <v>117010070</v>
      </c>
      <c r="C90" s="5">
        <v>69</v>
      </c>
      <c r="D90" s="5">
        <f t="shared" si="5"/>
        <v>318</v>
      </c>
      <c r="E90" s="5">
        <v>1</v>
      </c>
      <c r="F90" s="3">
        <v>68</v>
      </c>
      <c r="G90" s="5">
        <v>65</v>
      </c>
      <c r="H90" s="3">
        <v>85</v>
      </c>
      <c r="I90" s="5">
        <v>100</v>
      </c>
      <c r="J90" s="5">
        <f t="shared" si="6"/>
        <v>77.900000000000006</v>
      </c>
      <c r="K90" s="12" t="s">
        <v>134</v>
      </c>
    </row>
    <row r="91" spans="1:11" ht="15" x14ac:dyDescent="0.35">
      <c r="A91" s="10" t="s">
        <v>111</v>
      </c>
      <c r="B91" s="2">
        <v>117020380</v>
      </c>
      <c r="C91" s="5">
        <v>69</v>
      </c>
      <c r="D91" s="5">
        <f t="shared" si="5"/>
        <v>311</v>
      </c>
      <c r="E91" s="5">
        <v>1</v>
      </c>
      <c r="F91" s="3">
        <v>58</v>
      </c>
      <c r="G91" s="5">
        <v>80</v>
      </c>
      <c r="H91" s="3">
        <v>83</v>
      </c>
      <c r="I91" s="5">
        <v>90</v>
      </c>
      <c r="J91" s="5">
        <f t="shared" si="6"/>
        <v>76.674999999999997</v>
      </c>
      <c r="K91" s="12" t="s">
        <v>134</v>
      </c>
    </row>
    <row r="92" spans="1:11" ht="15" x14ac:dyDescent="0.35">
      <c r="A92" s="10" t="s">
        <v>76</v>
      </c>
      <c r="B92" s="2">
        <v>117010258</v>
      </c>
      <c r="C92" s="5">
        <v>69.5</v>
      </c>
      <c r="D92" s="5">
        <f t="shared" si="5"/>
        <v>310</v>
      </c>
      <c r="E92" s="5">
        <v>1</v>
      </c>
      <c r="F92" s="3">
        <v>63</v>
      </c>
      <c r="G92" s="5">
        <v>85</v>
      </c>
      <c r="H92" s="3">
        <v>90</v>
      </c>
      <c r="I92" s="5">
        <v>72</v>
      </c>
      <c r="J92" s="5">
        <f t="shared" si="6"/>
        <v>76.625</v>
      </c>
      <c r="K92" s="12" t="s">
        <v>134</v>
      </c>
    </row>
    <row r="93" spans="1:11" ht="15" x14ac:dyDescent="0.35">
      <c r="A93" s="10" t="s">
        <v>86</v>
      </c>
      <c r="B93" s="2">
        <v>117010272</v>
      </c>
      <c r="C93" s="5">
        <v>65</v>
      </c>
      <c r="D93" s="5">
        <f t="shared" si="5"/>
        <v>315</v>
      </c>
      <c r="E93" s="5">
        <v>1</v>
      </c>
      <c r="F93" s="3">
        <v>60</v>
      </c>
      <c r="G93" s="5">
        <v>65</v>
      </c>
      <c r="H93" s="3">
        <v>85</v>
      </c>
      <c r="I93" s="5">
        <v>105</v>
      </c>
      <c r="J93" s="5">
        <f t="shared" si="6"/>
        <v>76.375</v>
      </c>
      <c r="K93" s="12" t="s">
        <v>134</v>
      </c>
    </row>
    <row r="94" spans="1:11" ht="15" x14ac:dyDescent="0.35">
      <c r="A94" s="10" t="s">
        <v>58</v>
      </c>
      <c r="B94" s="2">
        <v>117010174</v>
      </c>
      <c r="C94" s="5">
        <v>61</v>
      </c>
      <c r="D94" s="5">
        <f t="shared" si="5"/>
        <v>320</v>
      </c>
      <c r="E94" s="5">
        <v>1</v>
      </c>
      <c r="F94" s="3">
        <v>75</v>
      </c>
      <c r="G94" s="5">
        <v>95</v>
      </c>
      <c r="H94" s="3">
        <v>70</v>
      </c>
      <c r="I94" s="5">
        <v>80</v>
      </c>
      <c r="J94" s="5">
        <f t="shared" si="6"/>
        <v>76.25</v>
      </c>
      <c r="K94" s="12" t="s">
        <v>134</v>
      </c>
    </row>
    <row r="95" spans="1:11" ht="15" x14ac:dyDescent="0.35">
      <c r="A95" s="10" t="s">
        <v>118</v>
      </c>
      <c r="B95" s="2">
        <v>117010403</v>
      </c>
      <c r="C95" s="5">
        <v>51.5</v>
      </c>
      <c r="D95" s="5">
        <f t="shared" si="5"/>
        <v>331</v>
      </c>
      <c r="E95" s="5">
        <v>1</v>
      </c>
      <c r="F95" s="3">
        <v>78</v>
      </c>
      <c r="G95" s="5">
        <v>50</v>
      </c>
      <c r="H95" s="3">
        <v>103</v>
      </c>
      <c r="I95" s="5">
        <v>100</v>
      </c>
      <c r="J95" s="5">
        <f t="shared" si="6"/>
        <v>75.8</v>
      </c>
      <c r="K95" s="12" t="s">
        <v>134</v>
      </c>
    </row>
    <row r="96" spans="1:11" ht="15" x14ac:dyDescent="0.35">
      <c r="A96" s="10" t="s">
        <v>127</v>
      </c>
      <c r="B96" s="2">
        <v>117010429</v>
      </c>
      <c r="C96" s="5">
        <v>69.5</v>
      </c>
      <c r="D96" s="5">
        <f t="shared" si="5"/>
        <v>300</v>
      </c>
      <c r="E96" s="5">
        <v>1</v>
      </c>
      <c r="F96" s="3">
        <v>40</v>
      </c>
      <c r="G96" s="5">
        <v>85</v>
      </c>
      <c r="H96" s="3">
        <v>85</v>
      </c>
      <c r="I96" s="5">
        <v>90</v>
      </c>
      <c r="J96" s="5">
        <f t="shared" si="6"/>
        <v>74.875</v>
      </c>
      <c r="K96" s="12" t="s">
        <v>134</v>
      </c>
    </row>
    <row r="97" spans="1:11" ht="15" x14ac:dyDescent="0.35">
      <c r="A97" s="10" t="s">
        <v>67</v>
      </c>
      <c r="B97" s="2">
        <v>117010221</v>
      </c>
      <c r="C97" s="5">
        <v>77</v>
      </c>
      <c r="D97" s="5">
        <f t="shared" si="5"/>
        <v>278</v>
      </c>
      <c r="E97" s="5">
        <v>1</v>
      </c>
      <c r="F97" s="3">
        <v>30</v>
      </c>
      <c r="G97" s="5">
        <v>65</v>
      </c>
      <c r="H97" s="3">
        <v>80</v>
      </c>
      <c r="I97" s="5">
        <v>103</v>
      </c>
      <c r="J97" s="5">
        <f t="shared" si="6"/>
        <v>72.900000000000006</v>
      </c>
      <c r="K97" s="12" t="s">
        <v>134</v>
      </c>
    </row>
    <row r="98" spans="1:11" ht="15" x14ac:dyDescent="0.35">
      <c r="A98" s="10" t="s">
        <v>83</v>
      </c>
      <c r="B98" s="2">
        <v>117010267</v>
      </c>
      <c r="C98" s="5">
        <v>61.5</v>
      </c>
      <c r="D98" s="5">
        <f t="shared" ref="D98:D121" si="7">F98+G98+H98+I98</f>
        <v>296</v>
      </c>
      <c r="E98" s="5">
        <v>1</v>
      </c>
      <c r="F98" s="3">
        <v>40</v>
      </c>
      <c r="G98" s="5">
        <v>85</v>
      </c>
      <c r="H98" s="3">
        <v>80</v>
      </c>
      <c r="I98" s="5">
        <v>91</v>
      </c>
      <c r="J98" s="5">
        <f t="shared" ref="J98:J129" si="8">5*E98+0.175*F98+0.175*G98+0.175*H98+0.175*I98+0.25*C98</f>
        <v>72.174999999999997</v>
      </c>
      <c r="K98" s="12" t="s">
        <v>134</v>
      </c>
    </row>
    <row r="99" spans="1:11" ht="15" x14ac:dyDescent="0.35">
      <c r="A99" s="10" t="s">
        <v>22</v>
      </c>
      <c r="B99" s="2">
        <v>117010052</v>
      </c>
      <c r="C99" s="5">
        <v>40</v>
      </c>
      <c r="D99" s="5">
        <f t="shared" si="7"/>
        <v>323</v>
      </c>
      <c r="E99" s="5">
        <v>1</v>
      </c>
      <c r="F99" s="3">
        <v>68</v>
      </c>
      <c r="G99" s="5">
        <v>70</v>
      </c>
      <c r="H99" s="3">
        <v>80</v>
      </c>
      <c r="I99" s="5">
        <v>105</v>
      </c>
      <c r="J99" s="5">
        <f t="shared" si="8"/>
        <v>71.525000000000006</v>
      </c>
      <c r="K99" s="12" t="s">
        <v>134</v>
      </c>
    </row>
    <row r="100" spans="1:11" ht="15" x14ac:dyDescent="0.35">
      <c r="A100" s="10" t="s">
        <v>39</v>
      </c>
      <c r="B100" s="2">
        <v>117010107</v>
      </c>
      <c r="C100" s="5">
        <v>65</v>
      </c>
      <c r="D100" s="5">
        <f t="shared" si="7"/>
        <v>283</v>
      </c>
      <c r="E100" s="5">
        <v>1</v>
      </c>
      <c r="F100" s="3">
        <v>65</v>
      </c>
      <c r="G100" s="5">
        <v>50</v>
      </c>
      <c r="H100" s="3">
        <v>80</v>
      </c>
      <c r="I100" s="5">
        <v>88</v>
      </c>
      <c r="J100" s="5">
        <f t="shared" si="8"/>
        <v>70.775000000000006</v>
      </c>
      <c r="K100" s="12" t="s">
        <v>134</v>
      </c>
    </row>
    <row r="101" spans="1:11" ht="15" x14ac:dyDescent="0.35">
      <c r="A101" s="10" t="s">
        <v>126</v>
      </c>
      <c r="B101" s="2">
        <v>116010339</v>
      </c>
      <c r="C101" s="5">
        <v>70</v>
      </c>
      <c r="D101" s="5">
        <f t="shared" si="7"/>
        <v>272</v>
      </c>
      <c r="E101" s="5">
        <v>1</v>
      </c>
      <c r="F101" s="3">
        <v>58</v>
      </c>
      <c r="G101" s="5">
        <v>42</v>
      </c>
      <c r="H101" s="3">
        <v>90</v>
      </c>
      <c r="I101" s="5">
        <v>82</v>
      </c>
      <c r="J101" s="5">
        <f t="shared" si="8"/>
        <v>70.099999999999994</v>
      </c>
      <c r="K101" s="12" t="s">
        <v>134</v>
      </c>
    </row>
    <row r="102" spans="1:11" ht="15" x14ac:dyDescent="0.35">
      <c r="A102" s="10" t="s">
        <v>19</v>
      </c>
      <c r="B102" s="2">
        <v>117010043</v>
      </c>
      <c r="C102" s="5">
        <v>47</v>
      </c>
      <c r="D102" s="5">
        <f t="shared" si="7"/>
        <v>295</v>
      </c>
      <c r="E102" s="5">
        <v>1</v>
      </c>
      <c r="F102" s="3">
        <v>60</v>
      </c>
      <c r="G102" s="5">
        <v>60</v>
      </c>
      <c r="H102" s="3">
        <v>80</v>
      </c>
      <c r="I102" s="5">
        <v>95</v>
      </c>
      <c r="J102" s="5">
        <f t="shared" si="8"/>
        <v>68.375</v>
      </c>
      <c r="K102" s="12" t="s">
        <v>135</v>
      </c>
    </row>
    <row r="103" spans="1:11" ht="15" x14ac:dyDescent="0.35">
      <c r="A103" s="10" t="s">
        <v>33</v>
      </c>
      <c r="B103" s="2">
        <v>117010086</v>
      </c>
      <c r="C103" s="5">
        <v>70.5</v>
      </c>
      <c r="D103" s="5">
        <f t="shared" si="7"/>
        <v>260</v>
      </c>
      <c r="E103" s="5">
        <v>1</v>
      </c>
      <c r="F103" s="3">
        <v>70</v>
      </c>
      <c r="G103" s="5">
        <v>80</v>
      </c>
      <c r="H103" s="3">
        <v>110</v>
      </c>
      <c r="I103" s="5">
        <v>0</v>
      </c>
      <c r="J103" s="5">
        <f t="shared" si="8"/>
        <v>68.125</v>
      </c>
      <c r="K103" s="12" t="s">
        <v>135</v>
      </c>
    </row>
    <row r="104" spans="1:11" ht="15" x14ac:dyDescent="0.35">
      <c r="A104" s="10" t="s">
        <v>42</v>
      </c>
      <c r="B104" s="2">
        <v>116010347</v>
      </c>
      <c r="C104" s="5">
        <v>62.5</v>
      </c>
      <c r="D104" s="5">
        <f t="shared" si="7"/>
        <v>270</v>
      </c>
      <c r="E104" s="5">
        <v>1</v>
      </c>
      <c r="F104" s="3">
        <v>55</v>
      </c>
      <c r="G104" s="5">
        <v>80</v>
      </c>
      <c r="H104" s="3">
        <v>75</v>
      </c>
      <c r="I104" s="5">
        <v>60</v>
      </c>
      <c r="J104" s="5">
        <f t="shared" si="8"/>
        <v>67.875</v>
      </c>
      <c r="K104" s="12" t="s">
        <v>135</v>
      </c>
    </row>
    <row r="105" spans="1:11" ht="15" x14ac:dyDescent="0.35">
      <c r="A105" s="10" t="s">
        <v>13</v>
      </c>
      <c r="B105" s="2">
        <v>117010028</v>
      </c>
      <c r="C105" s="5">
        <v>54</v>
      </c>
      <c r="D105" s="5">
        <f t="shared" si="7"/>
        <v>280</v>
      </c>
      <c r="E105" s="5">
        <v>1</v>
      </c>
      <c r="F105" s="3">
        <v>35</v>
      </c>
      <c r="G105" s="5">
        <v>60</v>
      </c>
      <c r="H105" s="3">
        <v>75</v>
      </c>
      <c r="I105" s="5">
        <v>110</v>
      </c>
      <c r="J105" s="5">
        <f t="shared" si="8"/>
        <v>67.5</v>
      </c>
      <c r="K105" s="12" t="s">
        <v>135</v>
      </c>
    </row>
    <row r="106" spans="1:11" ht="15" x14ac:dyDescent="0.35">
      <c r="A106" s="10" t="s">
        <v>50</v>
      </c>
      <c r="B106" s="2">
        <v>117010154</v>
      </c>
      <c r="C106" s="5">
        <v>68</v>
      </c>
      <c r="D106" s="5">
        <f t="shared" si="7"/>
        <v>255</v>
      </c>
      <c r="E106" s="5">
        <v>1</v>
      </c>
      <c r="F106" s="3">
        <v>50</v>
      </c>
      <c r="G106" s="5">
        <v>35</v>
      </c>
      <c r="H106" s="3">
        <v>85</v>
      </c>
      <c r="I106" s="5">
        <v>85</v>
      </c>
      <c r="J106" s="5">
        <f t="shared" si="8"/>
        <v>66.625</v>
      </c>
      <c r="K106" s="12" t="s">
        <v>135</v>
      </c>
    </row>
    <row r="107" spans="1:11" ht="15" x14ac:dyDescent="0.35">
      <c r="A107" s="10" t="s">
        <v>92</v>
      </c>
      <c r="B107" s="2">
        <v>117010311</v>
      </c>
      <c r="C107" s="5">
        <v>56.5</v>
      </c>
      <c r="D107" s="5">
        <f t="shared" si="7"/>
        <v>250</v>
      </c>
      <c r="E107" s="5">
        <v>1</v>
      </c>
      <c r="F107" s="3">
        <v>20</v>
      </c>
      <c r="G107" s="5">
        <v>80</v>
      </c>
      <c r="H107" s="3">
        <v>80</v>
      </c>
      <c r="I107" s="5">
        <v>70</v>
      </c>
      <c r="J107" s="5">
        <f t="shared" si="8"/>
        <v>62.875</v>
      </c>
      <c r="K107" s="12" t="s">
        <v>135</v>
      </c>
    </row>
    <row r="108" spans="1:11" ht="15" x14ac:dyDescent="0.35">
      <c r="A108" s="10" t="s">
        <v>29</v>
      </c>
      <c r="B108" s="2">
        <v>117010071</v>
      </c>
      <c r="C108" s="5">
        <v>69.5</v>
      </c>
      <c r="D108" s="5">
        <f t="shared" si="7"/>
        <v>230</v>
      </c>
      <c r="E108" s="5">
        <v>1</v>
      </c>
      <c r="F108" s="3">
        <v>0</v>
      </c>
      <c r="G108" s="5">
        <v>60</v>
      </c>
      <c r="H108" s="3">
        <v>90</v>
      </c>
      <c r="I108" s="5">
        <v>80</v>
      </c>
      <c r="J108" s="5">
        <f t="shared" si="8"/>
        <v>62.625</v>
      </c>
      <c r="K108" s="12" t="s">
        <v>135</v>
      </c>
    </row>
    <row r="109" spans="1:11" ht="15" x14ac:dyDescent="0.35">
      <c r="A109" s="10" t="s">
        <v>18</v>
      </c>
      <c r="B109" s="2">
        <v>117010039</v>
      </c>
      <c r="C109" s="5">
        <v>49</v>
      </c>
      <c r="D109" s="5">
        <f t="shared" si="7"/>
        <v>258</v>
      </c>
      <c r="E109" s="5">
        <v>1</v>
      </c>
      <c r="F109" s="3">
        <v>53</v>
      </c>
      <c r="G109" s="5">
        <v>65</v>
      </c>
      <c r="H109" s="3">
        <v>80</v>
      </c>
      <c r="I109" s="5">
        <v>60</v>
      </c>
      <c r="J109" s="5">
        <f t="shared" si="8"/>
        <v>62.4</v>
      </c>
      <c r="K109" s="12" t="s">
        <v>135</v>
      </c>
    </row>
    <row r="110" spans="1:11" ht="15" x14ac:dyDescent="0.35">
      <c r="A110" s="10" t="s">
        <v>113</v>
      </c>
      <c r="B110" s="2">
        <v>116010301</v>
      </c>
      <c r="C110" s="5">
        <v>51.5</v>
      </c>
      <c r="D110" s="5">
        <f t="shared" si="7"/>
        <v>246</v>
      </c>
      <c r="E110" s="5">
        <v>1</v>
      </c>
      <c r="F110" s="3">
        <v>64</v>
      </c>
      <c r="G110" s="5">
        <v>60</v>
      </c>
      <c r="H110" s="3">
        <v>75</v>
      </c>
      <c r="I110" s="5">
        <v>47</v>
      </c>
      <c r="J110" s="5">
        <f t="shared" si="8"/>
        <v>60.925000000000004</v>
      </c>
      <c r="K110" s="12" t="s">
        <v>135</v>
      </c>
    </row>
    <row r="111" spans="1:11" ht="15" x14ac:dyDescent="0.35">
      <c r="A111" s="10" t="s">
        <v>125</v>
      </c>
      <c r="B111" s="2">
        <v>117010426</v>
      </c>
      <c r="C111" s="5">
        <v>62.5</v>
      </c>
      <c r="D111" s="5">
        <f t="shared" si="7"/>
        <v>225</v>
      </c>
      <c r="E111" s="5">
        <v>1</v>
      </c>
      <c r="F111" s="3">
        <v>45</v>
      </c>
      <c r="G111" s="5">
        <v>50</v>
      </c>
      <c r="H111" s="3">
        <v>60</v>
      </c>
      <c r="I111" s="5">
        <v>70</v>
      </c>
      <c r="J111" s="5">
        <f t="shared" si="8"/>
        <v>60</v>
      </c>
      <c r="K111" s="12" t="s">
        <v>135</v>
      </c>
    </row>
    <row r="112" spans="1:11" ht="15" x14ac:dyDescent="0.35">
      <c r="A112" s="10" t="s">
        <v>46</v>
      </c>
      <c r="B112" s="2">
        <v>116010122</v>
      </c>
      <c r="C112" s="5">
        <v>75.5</v>
      </c>
      <c r="D112" s="5">
        <f t="shared" si="7"/>
        <v>216</v>
      </c>
      <c r="E112" s="5">
        <v>0</v>
      </c>
      <c r="F112" s="3">
        <v>0</v>
      </c>
      <c r="G112" s="5">
        <v>43</v>
      </c>
      <c r="H112" s="3">
        <v>80</v>
      </c>
      <c r="I112" s="5">
        <v>93</v>
      </c>
      <c r="J112" s="5">
        <f t="shared" si="8"/>
        <v>56.674999999999997</v>
      </c>
      <c r="K112" s="12" t="s">
        <v>136</v>
      </c>
    </row>
    <row r="113" spans="1:11" ht="15" x14ac:dyDescent="0.35">
      <c r="A113" s="10" t="s">
        <v>21</v>
      </c>
      <c r="B113" s="2">
        <v>117010047</v>
      </c>
      <c r="C113" s="5">
        <v>55.5</v>
      </c>
      <c r="D113" s="5">
        <f t="shared" si="7"/>
        <v>215</v>
      </c>
      <c r="E113" s="5">
        <v>1</v>
      </c>
      <c r="F113" s="3">
        <v>5</v>
      </c>
      <c r="G113" s="5">
        <v>50</v>
      </c>
      <c r="H113" s="3">
        <v>80</v>
      </c>
      <c r="I113" s="5">
        <v>80</v>
      </c>
      <c r="J113" s="5">
        <f t="shared" si="8"/>
        <v>56.5</v>
      </c>
      <c r="K113" s="12" t="s">
        <v>136</v>
      </c>
    </row>
    <row r="114" spans="1:11" ht="15" x14ac:dyDescent="0.35">
      <c r="A114" s="10" t="s">
        <v>43</v>
      </c>
      <c r="B114" s="6">
        <v>116010106</v>
      </c>
      <c r="C114" s="5">
        <v>68.5</v>
      </c>
      <c r="D114" s="5">
        <f t="shared" si="7"/>
        <v>170</v>
      </c>
      <c r="E114" s="5">
        <v>0</v>
      </c>
      <c r="F114" s="3">
        <v>50</v>
      </c>
      <c r="G114" s="5">
        <v>55</v>
      </c>
      <c r="H114" s="3">
        <v>0</v>
      </c>
      <c r="I114" s="5">
        <v>65</v>
      </c>
      <c r="J114" s="5">
        <f t="shared" si="8"/>
        <v>46.875</v>
      </c>
      <c r="K114" s="12" t="s">
        <v>138</v>
      </c>
    </row>
    <row r="115" spans="1:11" ht="15" x14ac:dyDescent="0.35">
      <c r="A115" s="10" t="s">
        <v>37</v>
      </c>
      <c r="B115" s="2">
        <v>117010104</v>
      </c>
      <c r="C115" s="5">
        <v>70.5</v>
      </c>
      <c r="D115" s="5">
        <f t="shared" si="7"/>
        <v>103</v>
      </c>
      <c r="E115" s="5">
        <v>0</v>
      </c>
      <c r="F115" s="3">
        <v>20</v>
      </c>
      <c r="G115" s="5">
        <v>53</v>
      </c>
      <c r="H115" s="3">
        <v>0</v>
      </c>
      <c r="I115" s="5">
        <v>30</v>
      </c>
      <c r="J115" s="5">
        <f t="shared" si="8"/>
        <v>35.65</v>
      </c>
      <c r="K115" s="12" t="s">
        <v>138</v>
      </c>
    </row>
    <row r="116" spans="1:11" ht="15" x14ac:dyDescent="0.35">
      <c r="A116" s="10" t="s">
        <v>55</v>
      </c>
      <c r="B116" s="2">
        <v>116010141</v>
      </c>
      <c r="C116" s="5"/>
      <c r="D116" s="5">
        <f t="shared" si="7"/>
        <v>121</v>
      </c>
      <c r="E116" s="5">
        <v>0</v>
      </c>
      <c r="F116" s="3">
        <v>68</v>
      </c>
      <c r="G116" s="5">
        <v>53</v>
      </c>
      <c r="H116" s="3">
        <v>0</v>
      </c>
      <c r="I116" s="5">
        <v>0</v>
      </c>
      <c r="J116" s="5">
        <f t="shared" si="8"/>
        <v>21.174999999999997</v>
      </c>
      <c r="K116" s="12" t="s">
        <v>138</v>
      </c>
    </row>
    <row r="117" spans="1:11" ht="15" x14ac:dyDescent="0.35">
      <c r="A117" s="10" t="s">
        <v>32</v>
      </c>
      <c r="B117" s="2">
        <v>117010087</v>
      </c>
      <c r="C117" s="5">
        <v>58</v>
      </c>
      <c r="D117" s="5">
        <f t="shared" si="7"/>
        <v>0</v>
      </c>
      <c r="E117" s="5">
        <v>1</v>
      </c>
      <c r="F117" s="3">
        <v>0</v>
      </c>
      <c r="G117" s="5">
        <v>0</v>
      </c>
      <c r="H117" s="3">
        <v>0</v>
      </c>
      <c r="I117" s="5">
        <v>0</v>
      </c>
      <c r="J117" s="5">
        <f t="shared" si="8"/>
        <v>19.5</v>
      </c>
      <c r="K117" s="12" t="s">
        <v>138</v>
      </c>
    </row>
    <row r="118" spans="1:11" ht="15" x14ac:dyDescent="0.35">
      <c r="A118" s="10" t="s">
        <v>44</v>
      </c>
      <c r="B118" s="2">
        <v>117010141</v>
      </c>
      <c r="C118" s="5"/>
      <c r="D118" s="5">
        <f t="shared" si="7"/>
        <v>50</v>
      </c>
      <c r="E118" s="5">
        <v>0</v>
      </c>
      <c r="F118" s="3">
        <v>50</v>
      </c>
      <c r="G118" s="5">
        <v>0</v>
      </c>
      <c r="H118" s="3">
        <v>0</v>
      </c>
      <c r="I118" s="5">
        <v>0</v>
      </c>
      <c r="J118" s="5">
        <f t="shared" si="8"/>
        <v>8.75</v>
      </c>
      <c r="K118" s="12" t="s">
        <v>138</v>
      </c>
    </row>
    <row r="119" spans="1:11" ht="15" x14ac:dyDescent="0.35">
      <c r="A119" s="10" t="s">
        <v>103</v>
      </c>
      <c r="B119" s="2">
        <v>118010401</v>
      </c>
      <c r="C119" s="5"/>
      <c r="D119" s="5">
        <f t="shared" si="7"/>
        <v>40</v>
      </c>
      <c r="E119" s="5">
        <v>0</v>
      </c>
      <c r="F119" s="3">
        <v>40</v>
      </c>
      <c r="G119" s="5">
        <v>0</v>
      </c>
      <c r="H119" s="3">
        <v>0</v>
      </c>
      <c r="I119" s="5">
        <v>0</v>
      </c>
      <c r="J119" s="5">
        <f t="shared" si="8"/>
        <v>7</v>
      </c>
      <c r="K119" s="12" t="s">
        <v>138</v>
      </c>
    </row>
    <row r="120" spans="1:11" ht="15" x14ac:dyDescent="0.35">
      <c r="A120" s="10" t="s">
        <v>102</v>
      </c>
      <c r="B120" s="2">
        <v>117010365</v>
      </c>
      <c r="C120" s="5"/>
      <c r="D120" s="5">
        <f t="shared" si="7"/>
        <v>0</v>
      </c>
      <c r="E120" s="5">
        <v>1</v>
      </c>
      <c r="F120" s="3">
        <v>0</v>
      </c>
      <c r="G120" s="5">
        <v>0</v>
      </c>
      <c r="H120" s="3">
        <v>0</v>
      </c>
      <c r="I120" s="5">
        <v>0</v>
      </c>
      <c r="J120" s="5">
        <f t="shared" si="8"/>
        <v>5</v>
      </c>
      <c r="K120" s="12" t="s">
        <v>138</v>
      </c>
    </row>
    <row r="121" spans="1:11" ht="15" x14ac:dyDescent="0.35">
      <c r="A121" s="18" t="s">
        <v>93</v>
      </c>
      <c r="B121" s="19">
        <v>117010332</v>
      </c>
      <c r="C121" s="20"/>
      <c r="D121" s="20">
        <f t="shared" si="7"/>
        <v>0</v>
      </c>
      <c r="E121" s="20">
        <v>0</v>
      </c>
      <c r="F121" s="21">
        <v>0</v>
      </c>
      <c r="G121" s="20">
        <v>0</v>
      </c>
      <c r="H121" s="21">
        <v>0</v>
      </c>
      <c r="I121" s="20">
        <v>0</v>
      </c>
      <c r="J121" s="20">
        <f t="shared" si="8"/>
        <v>0</v>
      </c>
      <c r="K121" s="22" t="s">
        <v>138</v>
      </c>
    </row>
    <row r="122" spans="1:11" x14ac:dyDescent="0.35">
      <c r="E122" s="7"/>
      <c r="F122" s="7"/>
      <c r="G122" s="7"/>
      <c r="H122" s="7"/>
      <c r="I122" s="7"/>
      <c r="J122" s="7"/>
    </row>
    <row r="123" spans="1:11" x14ac:dyDescent="0.35">
      <c r="E123" s="7"/>
      <c r="F123" s="7"/>
      <c r="G123" s="7"/>
      <c r="H123" s="7"/>
      <c r="I123" s="7"/>
      <c r="J123" s="7"/>
    </row>
  </sheetData>
  <phoneticPr fontId="3" type="noConversion"/>
  <pageMargins left="0.69930555555555596" right="0.69930555555555596" top="0.75" bottom="0.75" header="0.3" footer="0.3"/>
  <pageSetup paperSize="9" orientation="portrait" verticalDpi="300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95A2DC-64C7-0544-B6DA-21B3DC7FA100}">
  <dimension ref="A1"/>
  <sheetViews>
    <sheetView workbookViewId="0"/>
  </sheetViews>
  <sheetFormatPr defaultColWidth="10.85546875" defaultRowHeight="14.15" x14ac:dyDescent="0.35"/>
  <sheetData/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liuhaolin1</dc:creator>
  <cp:lastModifiedBy>DELL</cp:lastModifiedBy>
  <dcterms:created xsi:type="dcterms:W3CDTF">2020-12-25T20:03:00Z</dcterms:created>
  <dcterms:modified xsi:type="dcterms:W3CDTF">2022-12-03T03:39:45Z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2052-2.0.1.3256</vt:lpwstr>
  </property>
</Properties>
</file>